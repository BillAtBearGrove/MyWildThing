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wsmit\github\MyWildThing\"/>
    </mc:Choice>
  </mc:AlternateContent>
  <xr:revisionPtr revIDLastSave="0" documentId="13_ncr:1_{679F76E4-8EA1-4569-9CE0-11F766C6A135}" xr6:coauthVersionLast="47" xr6:coauthVersionMax="47" xr10:uidLastSave="{00000000-0000-0000-0000-000000000000}"/>
  <bookViews>
    <workbookView xWindow="-120" yWindow="-120" windowWidth="29040" windowHeight="17520" tabRatio="855" firstSheet="1" activeTab="4" xr2:uid="{32957A1D-A048-44BF-9EEF-6722D37710EC}"/>
  </bookViews>
  <sheets>
    <sheet name="UserRequirements" sheetId="1" r:id="rId1"/>
    <sheet name="ECMRequirements" sheetId="3" r:id="rId2"/>
    <sheet name="Test List Sandbox" sheetId="8" r:id="rId3"/>
    <sheet name="SW Connection Diagram" sheetId="2" r:id="rId4"/>
    <sheet name="rateLimitWithZeroCross" sheetId="11" r:id="rId5"/>
    <sheet name="joyProcessing" sheetId="7" r:id="rId6"/>
    <sheet name="UI_Select" sheetId="6" r:id="rId7"/>
    <sheet name="Polar to Mix" sheetId="10" r:id="rId8"/>
    <sheet name="MotorControl" sheetId="5" r:id="rId9"/>
    <sheet name="takenFromECMConfluence" sheetId="9" r:id="rId10"/>
  </sheets>
  <definedNames>
    <definedName name="OutlineLevel" localSheetId="1">GET.CELL(28,ECMRequirements!A1)</definedName>
    <definedName name="OutlineLevel">GET.CELL(28,UserRequirements!A1)</definedName>
    <definedName name="_xlnm.Print_Area" localSheetId="1">ECMRequirements!$A:$R</definedName>
    <definedName name="_xlnm.Print_Area" localSheetId="0">UserRequirements!$A:$R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3" i="1" l="1" a="1"/>
  <c r="Q16" i="1" a="1"/>
  <c r="Q9" i="1" a="1"/>
  <c r="Q14" i="1" a="1"/>
  <c r="Q15" i="1" a="1"/>
  <c r="Q17" i="1" a="1"/>
  <c r="Q12" i="1" a="1"/>
  <c r="Q10" i="1" a="1"/>
  <c r="Q11" i="1" a="1"/>
  <c r="Q54" i="3" a="1"/>
  <c r="Q46" i="3" a="1"/>
  <c r="Q38" i="3" a="1"/>
  <c r="Q30" i="3" a="1"/>
  <c r="Q22" i="3" a="1"/>
  <c r="Q14" i="3" a="1"/>
  <c r="Q36" i="3" a="1"/>
  <c r="Q28" i="3" a="1"/>
  <c r="Q55" i="3" a="1"/>
  <c r="Q47" i="3" a="1"/>
  <c r="Q39" i="3" a="1"/>
  <c r="Q31" i="3" a="1"/>
  <c r="Q23" i="3" a="1"/>
  <c r="Q15" i="3" a="1"/>
  <c r="Q48" i="3" a="1"/>
  <c r="Q40" i="3" a="1"/>
  <c r="Q32" i="3" a="1"/>
  <c r="Q24" i="3" a="1"/>
  <c r="Q16" i="3" a="1"/>
  <c r="Q11" i="3" a="1"/>
  <c r="Q49" i="3" a="1"/>
  <c r="Q41" i="3" a="1"/>
  <c r="Q33" i="3" a="1"/>
  <c r="Q25" i="3" a="1"/>
  <c r="Q17" i="3" a="1"/>
  <c r="Q50" i="3" a="1"/>
  <c r="Q42" i="3" a="1"/>
  <c r="Q34" i="3" a="1"/>
  <c r="Q26" i="3" a="1"/>
  <c r="Q18" i="3" a="1"/>
  <c r="Q10" i="3" a="1"/>
  <c r="Q44" i="3" a="1"/>
  <c r="Q51" i="3" a="1"/>
  <c r="Q43" i="3" a="1"/>
  <c r="Q35" i="3" a="1"/>
  <c r="Q27" i="3" a="1"/>
  <c r="Q19" i="3" a="1"/>
  <c r="Q52" i="3" a="1"/>
  <c r="Q29" i="3" a="1"/>
  <c r="Q37" i="3" a="1"/>
  <c r="Q20" i="3" a="1"/>
  <c r="Q12" i="3" a="1"/>
  <c r="Q45" i="3" a="1"/>
  <c r="Q13" i="3" a="1"/>
  <c r="Q21" i="3" a="1"/>
  <c r="Q53" i="3" a="1"/>
  <c r="Q9" i="3" a="1"/>
  <c r="N17" i="3" a="1"/>
  <c r="M17" i="1" a="1"/>
  <c r="M9" i="1" a="1"/>
  <c r="O15" i="3" a="1"/>
  <c r="O11" i="1" a="1"/>
  <c r="O10" i="3" a="1"/>
  <c r="M12" i="1" a="1"/>
  <c r="M13" i="3" a="1"/>
  <c r="O18" i="3" a="1"/>
  <c r="O45" i="3" a="1"/>
  <c r="N13" i="1" a="1"/>
  <c r="N28" i="3" a="1"/>
  <c r="M9" i="3" a="1"/>
  <c r="O12" i="1" a="1"/>
  <c r="O35" i="3" a="1"/>
  <c r="O40" i="3" a="1"/>
  <c r="O43" i="3" a="1"/>
  <c r="O29" i="3" a="1"/>
  <c r="N26" i="3" a="1"/>
  <c r="K14" i="1" a="1"/>
  <c r="M30" i="3" a="1"/>
  <c r="N36" i="3" a="1"/>
  <c r="K15" i="3" a="1"/>
  <c r="L14" i="1" a="1"/>
  <c r="O9" i="1" a="1"/>
  <c r="L16" i="1" a="1"/>
  <c r="O32" i="3" a="1"/>
  <c r="L15" i="3" a="1"/>
  <c r="N9" i="3" a="1"/>
  <c r="K17" i="1" a="1"/>
  <c r="O33" i="3" a="1"/>
  <c r="O38" i="3" a="1"/>
  <c r="O12" i="3" a="1"/>
  <c r="N30" i="3" a="1"/>
  <c r="N41" i="3" a="1"/>
  <c r="N12" i="1" a="1"/>
  <c r="O54" i="3" a="1"/>
  <c r="O27" i="3" a="1"/>
  <c r="M10" i="1" a="1"/>
  <c r="O16" i="1" a="1"/>
  <c r="L24" i="3" a="1"/>
  <c r="N9" i="1" a="1"/>
  <c r="M29" i="3" a="1"/>
  <c r="N20" i="3" a="1"/>
  <c r="O42" i="3" a="1"/>
  <c r="N10" i="1" a="1"/>
  <c r="O22" i="3" a="1"/>
  <c r="N13" i="3" a="1"/>
  <c r="L25" i="3" a="1"/>
  <c r="O24" i="3" a="1"/>
  <c r="N11" i="3" a="1"/>
  <c r="O37" i="3" a="1"/>
  <c r="L15" i="1" a="1"/>
  <c r="O14" i="3" a="1"/>
  <c r="N27" i="3" a="1"/>
  <c r="L16" i="3" a="1"/>
  <c r="M12" i="3" a="1"/>
  <c r="L19" i="3" a="1"/>
  <c r="M15" i="3" a="1"/>
  <c r="N22" i="3" a="1"/>
  <c r="O26" i="3" a="1"/>
  <c r="L29" i="3" a="1"/>
  <c r="L17" i="3" a="1"/>
  <c r="L14" i="3" a="1"/>
  <c r="O16" i="3" a="1"/>
  <c r="M27" i="3" a="1"/>
  <c r="L26" i="3" a="1"/>
  <c r="N43" i="3" a="1"/>
  <c r="N25" i="3" a="1"/>
  <c r="M14" i="3" a="1"/>
  <c r="O13" i="1" a="1"/>
  <c r="M11" i="3" a="1"/>
  <c r="M16" i="3" a="1"/>
  <c r="O28" i="3" a="1"/>
  <c r="O17" i="1" a="1"/>
  <c r="L20" i="3" a="1"/>
  <c r="O14" i="1" a="1"/>
  <c r="L9" i="1" a="1"/>
  <c r="O9" i="3" a="1"/>
  <c r="N23" i="3" a="1"/>
  <c r="M19" i="3" a="1"/>
  <c r="M13" i="1" a="1"/>
  <c r="L23" i="3" a="1"/>
  <c r="N11" i="1" a="1"/>
  <c r="M10" i="3" a="1"/>
  <c r="L10" i="3" a="1"/>
  <c r="N18" i="3" a="1"/>
  <c r="L12" i="3" a="1"/>
  <c r="N42" i="3" a="1"/>
  <c r="M41" i="3" a="1"/>
  <c r="N21" i="3" a="1"/>
  <c r="M20" i="3" a="1"/>
  <c r="M15" i="1" a="1"/>
  <c r="O41" i="3" a="1"/>
  <c r="M31" i="3" a="1"/>
  <c r="O17" i="3" a="1"/>
  <c r="M17" i="3" a="1"/>
  <c r="M25" i="3" a="1"/>
  <c r="O21" i="3" a="1"/>
  <c r="L13" i="3" a="1"/>
  <c r="M28" i="3" a="1"/>
  <c r="M23" i="3" a="1"/>
  <c r="O31" i="3" a="1"/>
  <c r="K9" i="3" a="1"/>
  <c r="O10" i="1" a="1"/>
  <c r="K18" i="3" a="1"/>
  <c r="N15" i="1" a="1"/>
  <c r="M22" i="3" a="1"/>
  <c r="M26" i="3" a="1"/>
  <c r="O11" i="3" a="1"/>
  <c r="K29" i="3" a="1"/>
  <c r="J9" i="1" a="1"/>
  <c r="L9" i="3" a="1"/>
  <c r="N14" i="3" a="1"/>
  <c r="L18" i="3" a="1"/>
  <c r="O19" i="3" a="1"/>
  <c r="M21" i="3" a="1"/>
  <c r="N16" i="3" a="1"/>
  <c r="O15" i="1" a="1"/>
  <c r="O44" i="3" a="1"/>
  <c r="O30" i="3" a="1"/>
  <c r="M16" i="1" a="1"/>
  <c r="O55" i="3" a="1"/>
  <c r="N24" i="3" a="1"/>
  <c r="L10" i="1" a="1"/>
  <c r="L22" i="3" a="1"/>
  <c r="N29" i="3" a="1"/>
  <c r="M18" i="3" a="1"/>
  <c r="M14" i="1" a="1"/>
  <c r="O36" i="3" a="1"/>
  <c r="N15" i="3" a="1"/>
  <c r="N31" i="3" a="1"/>
  <c r="K13" i="3" a="1"/>
  <c r="O39" i="3" a="1"/>
  <c r="N19" i="3" a="1"/>
  <c r="N17" i="1" a="1"/>
  <c r="N10" i="3" a="1"/>
  <c r="M24" i="3" a="1"/>
  <c r="O34" i="3" a="1"/>
  <c r="M11" i="1" a="1"/>
  <c r="O20" i="3" a="1"/>
  <c r="K11" i="3" a="1"/>
  <c r="K9" i="1" a="1"/>
  <c r="J9" i="3" a="1"/>
  <c r="N32" i="3" a="1"/>
  <c r="L30" i="3" a="1"/>
  <c r="N44" i="3" a="1"/>
  <c r="N16" i="1" a="1"/>
  <c r="O25" i="3" a="1"/>
  <c r="N12" i="3" a="1"/>
  <c r="L21" i="3" a="1"/>
  <c r="N14" i="1" a="1"/>
  <c r="N38" i="3" a="1"/>
  <c r="L17" i="1" a="1"/>
  <c r="O23" i="3" a="1"/>
  <c r="L11" i="3" a="1"/>
  <c r="O13" i="3" a="1"/>
  <c r="M22" i="3" l="1"/>
  <c r="O26" i="3"/>
  <c r="L19" i="3"/>
  <c r="N15" i="3"/>
  <c r="L20" i="3"/>
  <c r="N32" i="3"/>
  <c r="Q53" i="3"/>
  <c r="Q21" i="3"/>
  <c r="P21" i="3" s="1"/>
  <c r="M13" i="3"/>
  <c r="O17" i="3"/>
  <c r="Q13" i="3"/>
  <c r="K18" i="3"/>
  <c r="N24" i="3"/>
  <c r="Q45" i="3"/>
  <c r="P45" i="3" s="1"/>
  <c r="M30" i="3"/>
  <c r="Q12" i="3"/>
  <c r="P12" i="3" s="1"/>
  <c r="Q20" i="3"/>
  <c r="Q37" i="3"/>
  <c r="O34" i="3"/>
  <c r="O10" i="3"/>
  <c r="L11" i="3"/>
  <c r="L12" i="3"/>
  <c r="M14" i="3"/>
  <c r="N16" i="3"/>
  <c r="O18" i="3"/>
  <c r="Q29" i="3"/>
  <c r="O42" i="3"/>
  <c r="O25" i="3"/>
  <c r="O33" i="3"/>
  <c r="Q52" i="3"/>
  <c r="P52" i="3" s="1"/>
  <c r="N14" i="3"/>
  <c r="O16" i="3"/>
  <c r="L18" i="3"/>
  <c r="Q19" i="3"/>
  <c r="P19" i="3" s="1"/>
  <c r="M20" i="3"/>
  <c r="N22" i="3"/>
  <c r="O24" i="3"/>
  <c r="L26" i="3"/>
  <c r="Q27" i="3"/>
  <c r="M28" i="3"/>
  <c r="N30" i="3"/>
  <c r="O32" i="3"/>
  <c r="Q35" i="3"/>
  <c r="N38" i="3"/>
  <c r="O40" i="3"/>
  <c r="Q43" i="3"/>
  <c r="P43" i="3" s="1"/>
  <c r="Q51" i="3"/>
  <c r="M29" i="3"/>
  <c r="O41" i="3"/>
  <c r="Q44" i="3"/>
  <c r="Q10" i="3"/>
  <c r="M11" i="3"/>
  <c r="N13" i="3"/>
  <c r="K15" i="3"/>
  <c r="O15" i="3"/>
  <c r="L17" i="3"/>
  <c r="Q18" i="3"/>
  <c r="P18" i="3" s="1"/>
  <c r="M19" i="3"/>
  <c r="N21" i="3"/>
  <c r="O23" i="3"/>
  <c r="L25" i="3"/>
  <c r="Q26" i="3"/>
  <c r="P26" i="3" s="1"/>
  <c r="M27" i="3"/>
  <c r="N29" i="3"/>
  <c r="O31" i="3"/>
  <c r="Q34" i="3"/>
  <c r="P34" i="3" s="1"/>
  <c r="O39" i="3"/>
  <c r="Q42" i="3"/>
  <c r="Q50" i="3"/>
  <c r="O55" i="3"/>
  <c r="M12" i="3"/>
  <c r="M10" i="3"/>
  <c r="N12" i="3"/>
  <c r="O14" i="3"/>
  <c r="L16" i="3"/>
  <c r="Q17" i="3"/>
  <c r="M18" i="3"/>
  <c r="N20" i="3"/>
  <c r="O22" i="3"/>
  <c r="L24" i="3"/>
  <c r="Q25" i="3"/>
  <c r="M26" i="3"/>
  <c r="N28" i="3"/>
  <c r="O30" i="3"/>
  <c r="Q33" i="3"/>
  <c r="N36" i="3"/>
  <c r="O38" i="3"/>
  <c r="Q41" i="3"/>
  <c r="P41" i="3" s="1"/>
  <c r="N44" i="3"/>
  <c r="Q49" i="3"/>
  <c r="P49" i="3" s="1"/>
  <c r="O54" i="3"/>
  <c r="N23" i="3"/>
  <c r="N31" i="3"/>
  <c r="Q11" i="3"/>
  <c r="N11" i="3"/>
  <c r="K13" i="3"/>
  <c r="O13" i="3"/>
  <c r="L15" i="3"/>
  <c r="Q16" i="3"/>
  <c r="P16" i="3" s="1"/>
  <c r="M17" i="3"/>
  <c r="N19" i="3"/>
  <c r="O21" i="3"/>
  <c r="L23" i="3"/>
  <c r="Q24" i="3"/>
  <c r="P24" i="3" s="1"/>
  <c r="M25" i="3"/>
  <c r="N27" i="3"/>
  <c r="K29" i="3"/>
  <c r="O29" i="3"/>
  <c r="Q32" i="3"/>
  <c r="P32" i="3" s="1"/>
  <c r="O37" i="3"/>
  <c r="Q40" i="3"/>
  <c r="M41" i="3"/>
  <c r="N43" i="3"/>
  <c r="O45" i="3"/>
  <c r="Q48" i="3"/>
  <c r="N10" i="3"/>
  <c r="O12" i="3"/>
  <c r="L14" i="3"/>
  <c r="Q15" i="3"/>
  <c r="P15" i="3" s="1"/>
  <c r="M16" i="3"/>
  <c r="N18" i="3"/>
  <c r="O20" i="3"/>
  <c r="L22" i="3"/>
  <c r="Q23" i="3"/>
  <c r="M24" i="3"/>
  <c r="N26" i="3"/>
  <c r="O28" i="3"/>
  <c r="L30" i="3"/>
  <c r="Q31" i="3"/>
  <c r="P31" i="3" s="1"/>
  <c r="O36" i="3"/>
  <c r="Q39" i="3"/>
  <c r="P39" i="3" s="1"/>
  <c r="N42" i="3"/>
  <c r="O44" i="3"/>
  <c r="Q47" i="3"/>
  <c r="P47" i="3" s="1"/>
  <c r="Q55" i="3"/>
  <c r="P55" i="3" s="1"/>
  <c r="M21" i="3"/>
  <c r="Q28" i="3"/>
  <c r="P28" i="3" s="1"/>
  <c r="Q36" i="3"/>
  <c r="P36" i="3" s="1"/>
  <c r="L10" i="3"/>
  <c r="K11" i="3"/>
  <c r="O11" i="3"/>
  <c r="L13" i="3"/>
  <c r="Q14" i="3"/>
  <c r="P14" i="3" s="1"/>
  <c r="M15" i="3"/>
  <c r="N17" i="3"/>
  <c r="O19" i="3"/>
  <c r="L21" i="3"/>
  <c r="Q22" i="3"/>
  <c r="P22" i="3" s="1"/>
  <c r="M23" i="3"/>
  <c r="N25" i="3"/>
  <c r="O27" i="3"/>
  <c r="L29" i="3"/>
  <c r="Q30" i="3"/>
  <c r="P30" i="3" s="1"/>
  <c r="M31" i="3"/>
  <c r="O35" i="3"/>
  <c r="Q38" i="3"/>
  <c r="N41" i="3"/>
  <c r="O43" i="3"/>
  <c r="Q46" i="3"/>
  <c r="Q54" i="3"/>
  <c r="P54" i="3" s="1"/>
  <c r="N9" i="3"/>
  <c r="J9" i="3"/>
  <c r="K9" i="3"/>
  <c r="O9" i="3"/>
  <c r="L9" i="3"/>
  <c r="Q9" i="3"/>
  <c r="M9" i="3"/>
  <c r="Q11" i="1"/>
  <c r="O16" i="1"/>
  <c r="Q10" i="1"/>
  <c r="K14" i="1"/>
  <c r="O14" i="1"/>
  <c r="L16" i="1"/>
  <c r="Q17" i="1"/>
  <c r="P17" i="1" s="1"/>
  <c r="N11" i="1"/>
  <c r="O13" i="1"/>
  <c r="L15" i="1"/>
  <c r="Q16" i="1"/>
  <c r="M17" i="1"/>
  <c r="N10" i="1"/>
  <c r="O12" i="1"/>
  <c r="L14" i="1"/>
  <c r="Q15" i="1"/>
  <c r="M16" i="1"/>
  <c r="L10" i="1"/>
  <c r="M12" i="1"/>
  <c r="N14" i="1"/>
  <c r="M11" i="1"/>
  <c r="N13" i="1"/>
  <c r="O15" i="1"/>
  <c r="L17" i="1"/>
  <c r="M10" i="1"/>
  <c r="N12" i="1"/>
  <c r="O11" i="1"/>
  <c r="Q14" i="1"/>
  <c r="M15" i="1"/>
  <c r="N17" i="1"/>
  <c r="O10" i="1"/>
  <c r="Q13" i="1"/>
  <c r="M14" i="1"/>
  <c r="N16" i="1"/>
  <c r="Q12" i="1"/>
  <c r="M13" i="1"/>
  <c r="N15" i="1"/>
  <c r="K17" i="1"/>
  <c r="O17" i="1"/>
  <c r="J9" i="1"/>
  <c r="M9" i="1"/>
  <c r="L9" i="1"/>
  <c r="O9" i="1"/>
  <c r="Q9" i="1"/>
  <c r="K9" i="1"/>
  <c r="N9" i="1"/>
  <c r="K19" i="3" a="1"/>
  <c r="N37" i="3" a="1"/>
  <c r="J10" i="3" a="1"/>
  <c r="N45" i="3" a="1"/>
  <c r="N39" i="3" a="1"/>
  <c r="K30" i="3" a="1"/>
  <c r="L11" i="1" a="1"/>
  <c r="N33" i="3" a="1"/>
  <c r="J10" i="1" a="1"/>
  <c r="K10" i="3" a="1"/>
  <c r="K14" i="3" a="1"/>
  <c r="K10" i="1" a="1"/>
  <c r="L27" i="3" a="1"/>
  <c r="L31" i="3" a="1"/>
  <c r="M32" i="3" a="1"/>
  <c r="K16" i="3" a="1"/>
  <c r="O46" i="3" a="1"/>
  <c r="K12" i="3" a="1"/>
  <c r="M42" i="3" a="1"/>
  <c r="K15" i="1" a="1"/>
  <c r="K16" i="3" l="1"/>
  <c r="L27" i="3"/>
  <c r="N37" i="3"/>
  <c r="N33" i="3"/>
  <c r="K12" i="3"/>
  <c r="N39" i="3"/>
  <c r="K19" i="3"/>
  <c r="K14" i="3"/>
  <c r="K10" i="3"/>
  <c r="K30" i="3"/>
  <c r="J10" i="3"/>
  <c r="M32" i="3"/>
  <c r="O46" i="3"/>
  <c r="L31" i="3"/>
  <c r="M42" i="3"/>
  <c r="N45" i="3"/>
  <c r="P46" i="3"/>
  <c r="P40" i="3"/>
  <c r="P51" i="3"/>
  <c r="P27" i="3"/>
  <c r="P53" i="3"/>
  <c r="P11" i="3"/>
  <c r="P33" i="3"/>
  <c r="P50" i="3"/>
  <c r="P38" i="3"/>
  <c r="P23" i="3"/>
  <c r="P17" i="3"/>
  <c r="P42" i="3"/>
  <c r="P48" i="3"/>
  <c r="P10" i="3"/>
  <c r="P35" i="3"/>
  <c r="P13" i="3"/>
  <c r="P44" i="3"/>
  <c r="P29" i="3"/>
  <c r="P37" i="3"/>
  <c r="P25" i="3"/>
  <c r="P20" i="3"/>
  <c r="P13" i="1"/>
  <c r="P15" i="1"/>
  <c r="P14" i="1"/>
  <c r="P16" i="1"/>
  <c r="P10" i="1"/>
  <c r="A9" i="3"/>
  <c r="P9" i="3"/>
  <c r="A9" i="1"/>
  <c r="K10" i="1"/>
  <c r="K15" i="1"/>
  <c r="L11" i="1"/>
  <c r="J10" i="1"/>
  <c r="P12" i="1"/>
  <c r="P11" i="1"/>
  <c r="P9" i="1"/>
  <c r="K17" i="3" a="1"/>
  <c r="K20" i="3" a="1"/>
  <c r="K31" i="3" a="1"/>
  <c r="J11" i="3" a="1"/>
  <c r="N40" i="3" a="1"/>
  <c r="L28" i="3" a="1"/>
  <c r="O47" i="3" a="1"/>
  <c r="K11" i="1" a="1"/>
  <c r="N46" i="3" a="1"/>
  <c r="M43" i="3" a="1"/>
  <c r="J11" i="1" a="1"/>
  <c r="L32" i="3" a="1"/>
  <c r="L12" i="1" a="1"/>
  <c r="N34" i="3" a="1"/>
  <c r="K16" i="1" a="1"/>
  <c r="M33" i="3" a="1"/>
  <c r="L32" i="3" l="1"/>
  <c r="N46" i="3"/>
  <c r="M43" i="3"/>
  <c r="K20" i="3"/>
  <c r="O47" i="3"/>
  <c r="M33" i="3"/>
  <c r="N34" i="3"/>
  <c r="J11" i="3"/>
  <c r="K31" i="3"/>
  <c r="L28" i="3"/>
  <c r="N40" i="3"/>
  <c r="K17" i="3"/>
  <c r="A10" i="1"/>
  <c r="A10" i="3"/>
  <c r="J11" i="1"/>
  <c r="L12" i="1"/>
  <c r="K16" i="1"/>
  <c r="K11" i="1"/>
  <c r="L33" i="3" a="1"/>
  <c r="M34" i="3" a="1"/>
  <c r="K12" i="1" a="1"/>
  <c r="L13" i="1" a="1"/>
  <c r="K21" i="3" a="1"/>
  <c r="M44" i="3" a="1"/>
  <c r="K32" i="3" a="1"/>
  <c r="J12" i="1" a="1"/>
  <c r="J12" i="3" a="1"/>
  <c r="N35" i="3" a="1"/>
  <c r="O48" i="3" a="1"/>
  <c r="N47" i="3" a="1"/>
  <c r="N35" i="3" l="1"/>
  <c r="K21" i="3"/>
  <c r="O48" i="3"/>
  <c r="M44" i="3"/>
  <c r="M34" i="3"/>
  <c r="N47" i="3"/>
  <c r="J12" i="3"/>
  <c r="K32" i="3"/>
  <c r="L33" i="3"/>
  <c r="A11" i="3"/>
  <c r="A11" i="1"/>
  <c r="K12" i="1"/>
  <c r="L13" i="1"/>
  <c r="J12" i="1"/>
  <c r="J13" i="1" a="1"/>
  <c r="K22" i="3" a="1"/>
  <c r="M45" i="3" a="1"/>
  <c r="L34" i="3" a="1"/>
  <c r="M35" i="3" a="1"/>
  <c r="K33" i="3" a="1"/>
  <c r="N48" i="3" a="1"/>
  <c r="J13" i="3" a="1"/>
  <c r="O49" i="3" a="1"/>
  <c r="K13" i="1" a="1"/>
  <c r="J13" i="3" l="1"/>
  <c r="N48" i="3"/>
  <c r="M35" i="3"/>
  <c r="M45" i="3"/>
  <c r="K33" i="3"/>
  <c r="O49" i="3"/>
  <c r="K22" i="3"/>
  <c r="L34" i="3"/>
  <c r="A12" i="3"/>
  <c r="A12" i="1"/>
  <c r="J13" i="1"/>
  <c r="K13" i="1"/>
  <c r="J14" i="3" a="1"/>
  <c r="K34" i="3" a="1"/>
  <c r="J14" i="1" a="1"/>
  <c r="L35" i="3" a="1"/>
  <c r="O50" i="3" a="1"/>
  <c r="M36" i="3" a="1"/>
  <c r="N49" i="3" a="1"/>
  <c r="M46" i="3" a="1"/>
  <c r="K23" i="3" a="1"/>
  <c r="K23" i="3" l="1"/>
  <c r="M46" i="3"/>
  <c r="O50" i="3"/>
  <c r="M36" i="3"/>
  <c r="N49" i="3"/>
  <c r="L35" i="3"/>
  <c r="K34" i="3"/>
  <c r="J14" i="3"/>
  <c r="A13" i="3"/>
  <c r="A13" i="1"/>
  <c r="J14" i="1"/>
  <c r="A14" i="1" s="1"/>
  <c r="O51" i="3" a="1"/>
  <c r="L36" i="3" a="1"/>
  <c r="N50" i="3" a="1"/>
  <c r="M47" i="3" a="1"/>
  <c r="K35" i="3" a="1"/>
  <c r="K24" i="3" a="1"/>
  <c r="J15" i="1" a="1"/>
  <c r="J15" i="3" a="1"/>
  <c r="M37" i="3" a="1"/>
  <c r="L36" i="3" l="1"/>
  <c r="J15" i="3"/>
  <c r="K35" i="3"/>
  <c r="N50" i="3"/>
  <c r="M37" i="3"/>
  <c r="O51" i="3"/>
  <c r="M47" i="3"/>
  <c r="K24" i="3"/>
  <c r="A14" i="3"/>
  <c r="J15" i="1"/>
  <c r="A15" i="1" s="1"/>
  <c r="J16" i="1" a="1"/>
  <c r="K36" i="3" a="1"/>
  <c r="M48" i="3" a="1"/>
  <c r="N51" i="3" a="1"/>
  <c r="M38" i="3" a="1"/>
  <c r="K25" i="3" a="1"/>
  <c r="L37" i="3" a="1"/>
  <c r="J16" i="3" a="1"/>
  <c r="O52" i="3" a="1"/>
  <c r="N51" i="3" l="1"/>
  <c r="K25" i="3"/>
  <c r="M48" i="3"/>
  <c r="O52" i="3"/>
  <c r="M38" i="3"/>
  <c r="K36" i="3"/>
  <c r="J16" i="3"/>
  <c r="L37" i="3"/>
  <c r="A15" i="3"/>
  <c r="J16" i="1"/>
  <c r="A16" i="1" s="1"/>
  <c r="J17" i="1" a="1"/>
  <c r="M39" i="3" a="1"/>
  <c r="J17" i="3" a="1"/>
  <c r="L38" i="3" a="1"/>
  <c r="K26" i="3" a="1"/>
  <c r="M49" i="3" a="1"/>
  <c r="O53" i="3" a="1"/>
  <c r="K37" i="3" a="1"/>
  <c r="N52" i="3" a="1"/>
  <c r="L38" i="3" l="1"/>
  <c r="J17" i="3"/>
  <c r="K37" i="3"/>
  <c r="M39" i="3"/>
  <c r="O53" i="3"/>
  <c r="M49" i="3"/>
  <c r="K26" i="3"/>
  <c r="N52" i="3"/>
  <c r="A16" i="3"/>
  <c r="J17" i="1"/>
  <c r="A17" i="1" s="1"/>
  <c r="M50" i="3" a="1"/>
  <c r="M40" i="3" a="1"/>
  <c r="N53" i="3" a="1"/>
  <c r="K38" i="3" a="1"/>
  <c r="K27" i="3" a="1"/>
  <c r="J18" i="3" a="1"/>
  <c r="L39" i="3" a="1"/>
  <c r="M50" i="3" l="1"/>
  <c r="M40" i="3"/>
  <c r="K38" i="3"/>
  <c r="J18" i="3"/>
  <c r="N53" i="3"/>
  <c r="K27" i="3"/>
  <c r="L39" i="3"/>
  <c r="A17" i="3"/>
  <c r="K39" i="3" a="1"/>
  <c r="L40" i="3" a="1"/>
  <c r="M51" i="3" a="1"/>
  <c r="J19" i="3" a="1"/>
  <c r="N54" i="3" a="1"/>
  <c r="K28" i="3" a="1"/>
  <c r="L40" i="3" l="1"/>
  <c r="K28" i="3"/>
  <c r="N54" i="3"/>
  <c r="J19" i="3"/>
  <c r="K39" i="3"/>
  <c r="M51" i="3"/>
  <c r="A18" i="3"/>
  <c r="K40" i="3" a="1"/>
  <c r="J20" i="3" a="1"/>
  <c r="N55" i="3" a="1"/>
  <c r="M52" i="3" a="1"/>
  <c r="L41" i="3" a="1"/>
  <c r="J20" i="3" l="1"/>
  <c r="M52" i="3"/>
  <c r="K40" i="3"/>
  <c r="N55" i="3"/>
  <c r="L41" i="3"/>
  <c r="A19" i="3"/>
  <c r="M53" i="3" a="1"/>
  <c r="K41" i="3" a="1"/>
  <c r="L42" i="3" a="1"/>
  <c r="J21" i="3" a="1"/>
  <c r="L42" i="3" l="1"/>
  <c r="K41" i="3"/>
  <c r="M53" i="3"/>
  <c r="J21" i="3"/>
  <c r="A20" i="3"/>
  <c r="J22" i="3" a="1"/>
  <c r="M54" i="3" a="1"/>
  <c r="L43" i="3" a="1"/>
  <c r="K42" i="3" a="1"/>
  <c r="M54" i="3" l="1"/>
  <c r="K42" i="3"/>
  <c r="J22" i="3"/>
  <c r="L43" i="3"/>
  <c r="A21" i="3"/>
  <c r="L44" i="3" a="1"/>
  <c r="K43" i="3" a="1"/>
  <c r="M55" i="3" a="1"/>
  <c r="J23" i="3" a="1"/>
  <c r="M55" i="3" l="1"/>
  <c r="L44" i="3"/>
  <c r="J23" i="3"/>
  <c r="K43" i="3"/>
  <c r="A22" i="3"/>
  <c r="L45" i="3" a="1"/>
  <c r="K44" i="3" a="1"/>
  <c r="J24" i="3" a="1"/>
  <c r="K44" i="3" l="1"/>
  <c r="J24" i="3"/>
  <c r="L45" i="3"/>
  <c r="A23" i="3"/>
  <c r="K45" i="3" a="1"/>
  <c r="J25" i="3" a="1"/>
  <c r="L46" i="3" a="1"/>
  <c r="L46" i="3" l="1"/>
  <c r="J25" i="3"/>
  <c r="K45" i="3"/>
  <c r="A24" i="3"/>
  <c r="J26" i="3" a="1"/>
  <c r="L47" i="3" a="1"/>
  <c r="K46" i="3" a="1"/>
  <c r="K46" i="3" l="1"/>
  <c r="J26" i="3"/>
  <c r="L47" i="3"/>
  <c r="A25" i="3"/>
  <c r="J27" i="3" a="1"/>
  <c r="K47" i="3" a="1"/>
  <c r="L48" i="3" a="1"/>
  <c r="L48" i="3" l="1"/>
  <c r="J27" i="3"/>
  <c r="K47" i="3"/>
  <c r="A26" i="3"/>
  <c r="K48" i="3" a="1"/>
  <c r="J28" i="3" a="1"/>
  <c r="L49" i="3" a="1"/>
  <c r="K48" i="3" l="1"/>
  <c r="J28" i="3"/>
  <c r="A28" i="3" s="1"/>
  <c r="L49" i="3"/>
  <c r="A27" i="3"/>
  <c r="K49" i="3" a="1"/>
  <c r="J29" i="3" a="1"/>
  <c r="L50" i="3" a="1"/>
  <c r="L50" i="3" l="1"/>
  <c r="J29" i="3"/>
  <c r="A29" i="3" s="1"/>
  <c r="K49" i="3"/>
  <c r="L51" i="3" a="1"/>
  <c r="K50" i="3" a="1"/>
  <c r="J30" i="3" a="1"/>
  <c r="K50" i="3" l="1"/>
  <c r="J30" i="3"/>
  <c r="A30" i="3" s="1"/>
  <c r="L51" i="3"/>
  <c r="J31" i="3" a="1"/>
  <c r="L52" i="3" a="1"/>
  <c r="K51" i="3" a="1"/>
  <c r="L52" i="3" l="1"/>
  <c r="J31" i="3"/>
  <c r="A31" i="3" s="1"/>
  <c r="K51" i="3"/>
  <c r="L53" i="3" a="1"/>
  <c r="J32" i="3" a="1"/>
  <c r="K52" i="3" a="1"/>
  <c r="K52" i="3" l="1"/>
  <c r="J32" i="3"/>
  <c r="A32" i="3" s="1"/>
  <c r="L53" i="3"/>
  <c r="L54" i="3" a="1"/>
  <c r="K53" i="3" a="1"/>
  <c r="J33" i="3" a="1"/>
  <c r="L54" i="3" l="1"/>
  <c r="J33" i="3"/>
  <c r="A33" i="3" s="1"/>
  <c r="K53" i="3"/>
  <c r="K54" i="3" a="1"/>
  <c r="L55" i="3" a="1"/>
  <c r="J34" i="3" a="1"/>
  <c r="K54" i="3" l="1"/>
  <c r="J34" i="3"/>
  <c r="A34" i="3" s="1"/>
  <c r="L55" i="3"/>
  <c r="J35" i="3" a="1"/>
  <c r="K55" i="3" a="1"/>
  <c r="J35" i="3" l="1"/>
  <c r="A35" i="3" s="1"/>
  <c r="K55" i="3"/>
  <c r="J36" i="3" a="1"/>
  <c r="J36" i="3" l="1"/>
  <c r="A36" i="3" s="1"/>
  <c r="J37" i="3" a="1"/>
  <c r="J37" i="3" l="1"/>
  <c r="A37" i="3" s="1"/>
  <c r="J38" i="3" a="1"/>
  <c r="J38" i="3" l="1"/>
  <c r="A38" i="3" s="1"/>
  <c r="J39" i="3" a="1"/>
  <c r="J39" i="3" l="1"/>
  <c r="A39" i="3" s="1"/>
  <c r="J40" i="3" a="1"/>
  <c r="J40" i="3" l="1"/>
  <c r="A40" i="3" s="1"/>
  <c r="J41" i="3" a="1"/>
  <c r="J41" i="3" l="1"/>
  <c r="A41" i="3" s="1"/>
  <c r="J42" i="3" a="1"/>
  <c r="J42" i="3" l="1"/>
  <c r="A42" i="3" s="1"/>
  <c r="J43" i="3" a="1"/>
  <c r="J43" i="3" l="1"/>
  <c r="A43" i="3" s="1"/>
  <c r="J44" i="3" a="1"/>
  <c r="J44" i="3" l="1"/>
  <c r="A44" i="3" s="1"/>
  <c r="J45" i="3" a="1"/>
  <c r="J45" i="3" l="1"/>
  <c r="A45" i="3" s="1"/>
  <c r="J46" i="3" a="1"/>
  <c r="J46" i="3" l="1"/>
  <c r="A46" i="3" s="1"/>
  <c r="J47" i="3" a="1"/>
  <c r="J47" i="3" l="1"/>
  <c r="A47" i="3" s="1"/>
  <c r="J48" i="3" a="1"/>
  <c r="J48" i="3" l="1"/>
  <c r="A48" i="3" s="1"/>
  <c r="J49" i="3" a="1"/>
  <c r="J49" i="3" l="1"/>
  <c r="A49" i="3" s="1"/>
  <c r="J50" i="3" a="1"/>
  <c r="J50" i="3" l="1"/>
  <c r="A50" i="3" s="1"/>
  <c r="J51" i="3" a="1"/>
  <c r="J51" i="3" l="1"/>
  <c r="A51" i="3" s="1"/>
  <c r="J52" i="3" a="1"/>
  <c r="J52" i="3" l="1"/>
  <c r="A52" i="3" s="1"/>
  <c r="J53" i="3" a="1"/>
  <c r="J53" i="3" l="1"/>
  <c r="A53" i="3" s="1"/>
  <c r="J54" i="3" a="1"/>
  <c r="J54" i="3" l="1"/>
  <c r="A54" i="3" s="1"/>
  <c r="J55" i="3" a="1"/>
  <c r="J55" i="3" l="1"/>
  <c r="A55"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<sst xmlns="http://schemas.openxmlformats.org/spreadsheetml/2006/main" count="346" uniqueCount="206">
  <si>
    <t>Project</t>
  </si>
  <si>
    <t>Project Manager</t>
  </si>
  <si>
    <t>Requirements Traceability Matrix</t>
  </si>
  <si>
    <t>Contact</t>
  </si>
  <si>
    <t>Date</t>
  </si>
  <si>
    <t>Test Cases</t>
  </si>
  <si>
    <t>Status</t>
  </si>
  <si>
    <t>Comments</t>
  </si>
  <si>
    <t>Arise Wild Thing</t>
  </si>
  <si>
    <t>L1</t>
  </si>
  <si>
    <t>L2</t>
  </si>
  <si>
    <t>L3</t>
  </si>
  <si>
    <t>L4</t>
  </si>
  <si>
    <t>Req#</t>
  </si>
  <si>
    <t>isGroup</t>
  </si>
  <si>
    <t>L5</t>
  </si>
  <si>
    <t>L6</t>
  </si>
  <si>
    <t>Requirement</t>
  </si>
  <si>
    <t>Reason</t>
  </si>
  <si>
    <t>Safety</t>
  </si>
  <si>
    <t>Comfort</t>
  </si>
  <si>
    <t>Price</t>
  </si>
  <si>
    <t>Performance</t>
  </si>
  <si>
    <t>Category</t>
  </si>
  <si>
    <t>Shall</t>
  </si>
  <si>
    <t>Should</t>
  </si>
  <si>
    <t>May</t>
  </si>
  <si>
    <t>Level</t>
  </si>
  <si>
    <t>Be Safe</t>
  </si>
  <si>
    <t>We like people</t>
  </si>
  <si>
    <t>Have no unintended motion</t>
  </si>
  <si>
    <t>TBD</t>
  </si>
  <si>
    <t>Fully Tested</t>
  </si>
  <si>
    <t>Coverage -InProcess</t>
  </si>
  <si>
    <t>Coverage -Coded</t>
  </si>
  <si>
    <t>Title</t>
  </si>
  <si>
    <t>Info</t>
  </si>
  <si>
    <t>Failsafe if signal goes bad</t>
  </si>
  <si>
    <t>Avoid surprises</t>
  </si>
  <si>
    <t>Start in the "OFF" position when switching to new motion input</t>
  </si>
  <si>
    <t>Keep occupant from getting dumped out of chair or jerked around; reduce surprises to operator to make easier to control</t>
  </si>
  <si>
    <t>* Too much limitation can cause delay, hunting, or added confusion</t>
  </si>
  <si>
    <t>Control rate of change of motor speeds</t>
  </si>
  <si>
    <t>Stop if Motion Input is out of range or looks bad for considerable time</t>
  </si>
  <si>
    <t>could be filtered for small noise or held previous for big variance?</t>
  </si>
  <si>
    <t>Func#</t>
  </si>
  <si>
    <t>Connor McGough</t>
  </si>
  <si>
    <t>Not react to noisey signals or extreme inputs</t>
  </si>
  <si>
    <t>Switch between inputs easily and safely</t>
  </si>
  <si>
    <t>Ease of Use</t>
  </si>
  <si>
    <t>Avoid any immediate motion / directional changes</t>
  </si>
  <si>
    <t>Allow user adjustment of "Fast/Slow"modes</t>
  </si>
  <si>
    <t>Speed Pot</t>
  </si>
  <si>
    <t>Priority</t>
  </si>
  <si>
    <t>USR</t>
  </si>
  <si>
    <t>ECM</t>
  </si>
  <si>
    <t>Availability</t>
  </si>
  <si>
    <t>Be accessible to all levels of income</t>
  </si>
  <si>
    <t>Flexibility</t>
  </si>
  <si>
    <t>Purchase from standard sources</t>
  </si>
  <si>
    <t>be able to modify/customize to suit individual needs</t>
  </si>
  <si>
    <t>Distribution</t>
  </si>
  <si>
    <t>have all critical tuning parameters easy to use</t>
  </si>
  <si>
    <t>Be robust to mis-use / entry error of all critical tuning parameters</t>
  </si>
  <si>
    <t>Function</t>
  </si>
  <si>
    <t>Stop smoothly and quickly when input request goes to zero</t>
  </si>
  <si>
    <t>Respond smoothly and without delay to user input</t>
  </si>
  <si>
    <t>Ex. If joystick returns to center, the machine shall reduce all motor drive and apply brake; Ballpark target 1-3 seconds from full PID to full brake</t>
  </si>
  <si>
    <t>Unit shall decel as quickly as possible without dumping person from seat or skidding wheels</t>
  </si>
  <si>
    <t>response should not be percieved as delayed; sometimes more delay causes rapid accel when controller tries to finally catch up.</t>
  </si>
  <si>
    <t>Switch between selected input methods without "surprise" motion</t>
  </si>
  <si>
    <t>shall always wait for user input to "initialize at zero" before allowing user input to be passed to controller - this mitigates unintended movement. Ex: don't just take off if turnning on or switching to occupant if child has joystick at full tilt. Either need to wait for joystick to be centered first or ramp up really slowly unit user input can be met (which could allow user correction to take place if needed)</t>
  </si>
  <si>
    <t>Automatically learn center</t>
  </si>
  <si>
    <t>Not creep or move when joystick is released</t>
  </si>
  <si>
    <t>behave similar on any surface or loaded weight condition</t>
  </si>
  <si>
    <t>provide smooth ride (not hunt or bump, or have excessive accel.decel)</t>
  </si>
  <si>
    <t>stop ASAP if noise is experienced disconnect/loss of user input</t>
  </si>
  <si>
    <t>reconnect after signal loss or noise only if signal is determined to be "GOOD" - Reinitialize must occur (user input needs to be back to center)</t>
  </si>
  <si>
    <t>need to define "short disruption" and what "protection" looks like, ex. Maybe filter signal or "use previous" if excessive noise is detected</t>
  </si>
  <si>
    <t>provide minimal disruption to user input for "Short intervals" of noise or disconnection</t>
  </si>
  <si>
    <t>avoid nusiance, or false detect of problems</t>
  </si>
  <si>
    <t>makes it easier for user to restart after a problem</t>
  </si>
  <si>
    <t>might need discussion about fault latching - what should latch, maybe after certain number of failures it should latch and not recover?</t>
  </si>
  <si>
    <t>rate limits apply to stop safely; discussion needed to detemine Hard Fault or Soft Fault (short interval fault)</t>
  </si>
  <si>
    <t>Input Modes</t>
  </si>
  <si>
    <t>Occupant</t>
  </si>
  <si>
    <t>Tether (Parent/Guardian)</t>
  </si>
  <si>
    <t>Joystick XY Mode</t>
  </si>
  <si>
    <t>Joystick AR (Polar) Mode</t>
  </si>
  <si>
    <t>Combination Occupant/Tether</t>
  </si>
  <si>
    <t>Occ 1 Switch (Wobble) + Tether steering</t>
  </si>
  <si>
    <t>Occ 2 Switch (Forward/Back) + Tether steering</t>
  </si>
  <si>
    <t>Occupant Joystick + AutoTether Override</t>
  </si>
  <si>
    <t>needs definition</t>
  </si>
  <si>
    <t>(Ref. Roch unit specs)</t>
  </si>
  <si>
    <t>Analog Joystick XY Mode</t>
  </si>
  <si>
    <t>Analog Joystick AR (Polar) Mode</t>
  </si>
  <si>
    <t>Inputs</t>
  </si>
  <si>
    <t>Input Locations / Sources</t>
  </si>
  <si>
    <t>Should we define Switching logic here?</t>
  </si>
  <si>
    <t>Be able to accept inputs from any combination of the following modes from locations</t>
  </si>
  <si>
    <t>RF / COM Etc</t>
  </si>
  <si>
    <t>Analog</t>
  </si>
  <si>
    <t>Digital</t>
  </si>
  <si>
    <t>Switches</t>
  </si>
  <si>
    <t>Potentiometers</t>
  </si>
  <si>
    <t>Need to cover speed pot requirements</t>
  </si>
  <si>
    <t>Use Tether when Main Joy Switch is on Tether (ignore all other inputs)</t>
  </si>
  <si>
    <t>Use Occ Button (Wobble Switch) to result in motion (speed determined by OccDownrate and SpeedPot)</t>
  </si>
  <si>
    <t>Use Tether for steering (unless tether near zero radius, in that case movement is straight ahead, aka angle =0)</t>
  </si>
  <si>
    <t>Accel &amp; Decel at normal rates to maintain smooth operation</t>
  </si>
  <si>
    <t>Allow full Tether Override if TetherButton is depressed</t>
  </si>
  <si>
    <t>Maintain standard Stop &amp; ReInit requirements in case of noise or out of range signals</t>
  </si>
  <si>
    <t>Stop all motion if tether is disconnected</t>
  </si>
  <si>
    <t>ReInitialization must occur to recover from tether disconnect</t>
  </si>
  <si>
    <t>inputs:</t>
  </si>
  <si>
    <t xml:space="preserve">Target (speed); Actual (speed); </t>
  </si>
  <si>
    <t>Funtion:</t>
  </si>
  <si>
    <t>Run</t>
  </si>
  <si>
    <t>Actions</t>
  </si>
  <si>
    <t>Returns:</t>
  </si>
  <si>
    <t>Status {Stop, Active}
Mode {Drive, Brake}
Pct (%)</t>
  </si>
  <si>
    <t>Calculate % to drive or brake motor based on Target and Actual</t>
  </si>
  <si>
    <t>Reset</t>
  </si>
  <si>
    <t>Enable</t>
  </si>
  <si>
    <t>n/a</t>
  </si>
  <si>
    <t>enable/disable function</t>
  </si>
  <si>
    <t>Restart Function at STOP</t>
  </si>
  <si>
    <t>Set</t>
  </si>
  <si>
    <t>enum_Var {BrakeTime, rateLimInc, rateLimDec, errorTol}, value</t>
  </si>
  <si>
    <t>set desired variable to desired value</t>
  </si>
  <si>
    <t>enum_Feature {brake4overspeed, rateLimit}, True/False</t>
  </si>
  <si>
    <t>Declarations:</t>
  </si>
  <si>
    <t>Public</t>
  </si>
  <si>
    <t>SetPID</t>
  </si>
  <si>
    <t>Kp, Ki, Kd, iForget</t>
  </si>
  <si>
    <t>General:</t>
  </si>
  <si>
    <t>Select which input method to use based on swicth inputs and input health.
Manage debounces to ensure no unintended motion and provide smooth transitions between inputs</t>
  </si>
  <si>
    <t>Joysticks</t>
  </si>
  <si>
    <t>Onboard</t>
  </si>
  <si>
    <t>Tether</t>
  </si>
  <si>
    <t>Buttons &amp; switches</t>
  </si>
  <si>
    <t>Joy Select (Main) on backpack</t>
  </si>
  <si>
    <t>Occupant Forward</t>
  </si>
  <si>
    <t>Tether Button/Parent Override (5th wire on tether joystick)</t>
  </si>
  <si>
    <t>`</t>
  </si>
  <si>
    <t>Scale Inputs to Operational SW "standard"</t>
  </si>
  <si>
    <t>Filter incoming signals from noise to protect Operational SW</t>
  </si>
  <si>
    <t>This may include specific logic and/or processing to obtain desired control</t>
  </si>
  <si>
    <t>ex.: Roch Unit with Wobble switch on OccX and ParentOverride on OccY inputs to determine which input(s) and how to use for "Occupant Mode"</t>
  </si>
  <si>
    <t>Determine Health of each signal (protect for faulty input: noise and/or disconnect)</t>
  </si>
  <si>
    <t>Special Cases can be handled in custom Input layer</t>
  </si>
  <si>
    <t>smoothness, turning - no jumping, straight tracking</t>
  </si>
  <si>
    <t>test with Max load (50 lbs = 2x Arise boxes of books) and lowest speed setting is able to climb arise ramp (and track straight)</t>
  </si>
  <si>
    <t>Do not hurt anybody or anything, or move into dangerous areas</t>
  </si>
  <si>
    <t>Mission Statement - Develop a replacement for the ARISE-modified Wild Thing to continue providing children the ability to independently explore their environment. Where economically possible, the replacement should improve upon the Wild Thing.</t>
  </si>
  <si>
    <t>Schedule - 1 year (threshold), 6 months (objective).</t>
  </si>
  <si>
    <t>(Internal) Product Name - Early Childhood Mobility Device (ECMD): A low cost, customizable power mobility device that allows children between the ages of 1 and 5 to independently explore their environment.</t>
  </si>
  <si>
    <t>Link to the Domain Overview view of the ECMD model: https://prolaborate.int.srcinc.com/5fOvH</t>
  </si>
  <si>
    <t>SWaP-C Requirements:</t>
  </si>
  <si>
    <t>The ECMD unit cost shall be $500 or less (threshold).</t>
  </si>
  <si>
    <t>The ECMD unit cost should be $400 or less (objective).</t>
  </si>
  <si>
    <t>The ECMD shall be able to be lifted from the ground to a height of 4 feet by a single person.</t>
  </si>
  <si>
    <t>The ECMD shall fit into a volume of H x W x D (easily adjusted or disassembled components allowed).</t>
  </si>
  <si>
    <t>Full size sedan trunk volume?</t>
  </si>
  <si>
    <t>Consider carrying through doorways and stairwells.</t>
  </si>
  <si>
    <t>The ECMD shall be able to maneuver through standard interior doorways.</t>
  </si>
  <si>
    <t>Customization Requirements:</t>
  </si>
  <si>
    <t>The ECMD shall offer multiple driving control input options, such as joysticks and switches.</t>
  </si>
  <si>
    <t>The ECMD shall offer multiple locations for each driving control input type.</t>
  </si>
  <si>
    <t>The ECMD shall offer customizable seat to adjust or be built to the user’s heights, weights, postures, wingspans/reaches, and abilities.</t>
  </si>
  <si>
    <t>Safety Requirements:</t>
  </si>
  <si>
    <t>The ECMD shall offer the ability to be driven by a seated user and/or assistant (parent, caregiver, or therapist).</t>
  </si>
  <si>
    <t>The ECMD shall offer an adjustable speed range.</t>
  </si>
  <si>
    <t>The ECMD shall offer multiple safety features in order to avoid accidents, unattended movements, software or electronic failures, unsafe driving by user.</t>
  </si>
  <si>
    <t>Need to flesh this out.</t>
  </si>
  <si>
    <t>The ECMD shall be able to be stopped by an assistant from up to XX feet away.</t>
  </si>
  <si>
    <t>The ECMD shall not exceed XX mph.</t>
  </si>
  <si>
    <t>…</t>
  </si>
  <si>
    <t>The ECMD shall offer adjustable safety components including different combinations of seatbelt, chest strap, and/or five-point harness.</t>
  </si>
  <si>
    <t>Maybe this should go in the Customization Requirements section?</t>
  </si>
  <si>
    <t>Note for requirement from 3/19 call: ECMD/WildThing shall not move when power is disconnected from the motors (no free rolling unless explicitly told).</t>
  </si>
  <si>
    <t>Operating and Storage Environment Requirements:</t>
  </si>
  <si>
    <t>Safely and efficiently traverse indoors as well as outdoors over grass, dirt and gravel, inclines and declines.</t>
  </si>
  <si>
    <t>The ECMD shall …</t>
  </si>
  <si>
    <t>Considerations:</t>
  </si>
  <si>
    <t>Inside - homes, schools, public areas.</t>
  </si>
  <si>
    <t>Floor surfaces: hardwood/tile/smooth concrete, carpet.</t>
  </si>
  <si>
    <t>Outside - backyards, driveways, playgrounds, sidewalks.</t>
  </si>
  <si>
    <t>Floor surfaces: grass, dirt, mulch, rocks, rubber, concrete, asphalt, snow?</t>
  </si>
  <si>
    <t>15 minutes of light rain?</t>
  </si>
  <si>
    <t>Operational Temperature Range?</t>
  </si>
  <si>
    <t>Usability Requirements:</t>
  </si>
  <si>
    <t>The ECMD shall have a turning radius of 1 foot (threshold).</t>
  </si>
  <si>
    <t>The ECMD should have a turning radius of zero (objective).</t>
  </si>
  <si>
    <t>Manufacturability Requirements:</t>
  </si>
  <si>
    <t>The ECMD shall have a standard frame while seating and controls will be customizable.</t>
  </si>
  <si>
    <t>The ECMD shall be able to be manufactured (from scratch to the standard frame) in XX days.</t>
  </si>
  <si>
    <t>The ECMD shall be able to be manufactured (from the standard frame to the customer configuration) in XX days.</t>
  </si>
  <si>
    <t>Changing polarity should stop at Zero before changing polarity long enough for current to disipate (also back EMF if motor are still coasting down)</t>
  </si>
  <si>
    <t xml:space="preserve">Limiting the rate of change of the motors </t>
  </si>
  <si>
    <t>Avoid jerking occupant or stop suddenly (don't dump occupant out of seat or peel out excessively)</t>
  </si>
  <si>
    <t>Motor commands should be smooth</t>
  </si>
  <si>
    <t>Reduce inrush current spikes and excessive current due to undue acceleration</t>
  </si>
  <si>
    <t>Avoid potential to overlap FET actuation which could direct short power leads</t>
  </si>
  <si>
    <t>Avoid inrush current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</si>
</sst>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Calibri"/>
      <family val="2"/>
      <scheme val="minor"/>
    </font>
    <font>
      <b/>
      <sz val="22"/>
      <color theme="1"/>
      <name val="Calibri"/>
      <family val="2"/>
      <scheme val="minor"/>
    </font>
    <font>
      <sz val="8"/>
      <name val="Calibri"/>
      <family val="2"/>
      <scheme val="minor"/>
    </font>
    <font>
      <sz val="12"/>
      <color theme="1"/>
      <name val="Calibri"/>
      <family val="2"/>
      <scheme val="minor"/>
    </font>
    <font>
      <b/>
      <sz val="16"/>
      <color theme="1"/>
      <name val="Calibri"/>
      <family val="2"/>
      <scheme val="minor"/>
    </font>
    <font>
      <sz val="12"/>
      <color rgb="FF292A2E"/>
      <name val="Segoe UI"/>
      <family val="2"/>
    </font>
    <font>
      <sz val="11"/>
      <color rgb="FF292A2E"/>
      <name val="Segoe UI"/>
      <family val="2"/>
    </font>
    <font>
      <u/>
      <sz val="11"/>
      <color theme="10"/>
      <name val="Calibri"/>
      <family val="2"/>
      <scheme val="minor"/>
    </font>
  </fonts>
  <fills count="3">
    <fill>
      <patternFill patternType="none"/>
    </fill>
    <fill>
      <patternFill patternType="gray125"/>
    </fill>
    <fill>
      <patternFill patternType="solid">
        <fgColor theme="4" tint="0.79998168889431442"/>
        <bgColor theme="4" tint="0.79998168889431442"/>
      </patternFill>
    </fill>
  </fills>
  <borders count="3">
    <border>
      <left/>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8" fillId="0" borderId="0" applyNumberFormat="0" applyFill="0" applyBorder="0" applyAlignment="0" applyProtection="0"/>
  </cellStyleXfs>
  <cellXfs count="30">
    <xf numFmtId="0" fontId="0" fillId="0" borderId="0" xfId="0"/>
    <xf numFmtId="0" fontId="2"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0" borderId="0" xfId="0" applyAlignment="1">
      <alignment vertical="top" wrapText="1"/>
    </xf>
    <xf numFmtId="0" fontId="4" fillId="0" borderId="0" xfId="0" applyFont="1" applyAlignment="1">
      <alignment vertical="top"/>
    </xf>
    <xf numFmtId="0" fontId="4" fillId="0" borderId="0" xfId="0" applyFont="1" applyAlignment="1">
      <alignment horizontal="left" vertical="top"/>
    </xf>
    <xf numFmtId="0" fontId="0" fillId="0" borderId="0" xfId="0" applyAlignment="1">
      <alignment horizontal="center" vertical="top" wrapText="1"/>
    </xf>
    <xf numFmtId="0" fontId="0" fillId="0" borderId="0" xfId="0" quotePrefix="1" applyAlignment="1">
      <alignment vertical="top" wrapText="1"/>
    </xf>
    <xf numFmtId="0" fontId="4" fillId="0" borderId="0" xfId="0" applyFont="1" applyAlignment="1">
      <alignment vertical="top" wrapText="1"/>
    </xf>
    <xf numFmtId="0" fontId="5" fillId="0" borderId="0" xfId="0" applyFont="1" applyAlignment="1">
      <alignment vertical="top"/>
    </xf>
    <xf numFmtId="0" fontId="1" fillId="0" borderId="0" xfId="0" applyFont="1"/>
    <xf numFmtId="0" fontId="1" fillId="0" borderId="0" xfId="0" applyFont="1" applyAlignment="1">
      <alignment vertical="top"/>
    </xf>
    <xf numFmtId="0" fontId="5" fillId="0" borderId="0" xfId="0" applyFont="1"/>
    <xf numFmtId="0" fontId="6" fillId="0" borderId="0" xfId="0" applyFont="1" applyAlignment="1">
      <alignment vertical="center" wrapText="1"/>
    </xf>
    <xf numFmtId="0" fontId="0" fillId="0" borderId="0" xfId="0" applyAlignment="1">
      <alignment wrapText="1"/>
    </xf>
    <xf numFmtId="0" fontId="8" fillId="0" borderId="0" xfId="1" applyAlignment="1">
      <alignment vertical="center" wrapText="1"/>
    </xf>
    <xf numFmtId="0" fontId="0" fillId="0" borderId="0" xfId="0" applyAlignment="1">
      <alignment horizontal="left" vertical="center" wrapText="1"/>
    </xf>
    <xf numFmtId="0" fontId="7" fillId="0" borderId="0" xfId="0" applyFont="1" applyAlignment="1">
      <alignment horizontal="left" vertical="center" wrapText="1"/>
    </xf>
    <xf numFmtId="0" fontId="6" fillId="0" borderId="0" xfId="0" applyFont="1" applyAlignment="1">
      <alignment horizontal="left" vertical="center" wrapText="1"/>
    </xf>
    <xf numFmtId="0" fontId="0" fillId="0" borderId="1" xfId="0" applyBorder="1" applyAlignment="1">
      <alignment horizontal="left" vertical="top"/>
    </xf>
    <xf numFmtId="0" fontId="0" fillId="0" borderId="2" xfId="0" applyBorder="1" applyAlignment="1">
      <alignment horizontal="left" vertical="top"/>
    </xf>
    <xf numFmtId="0" fontId="1" fillId="2" borderId="1" xfId="0" applyFont="1" applyFill="1" applyBorder="1" applyAlignment="1">
      <alignment horizontal="left" vertical="top"/>
    </xf>
    <xf numFmtId="0" fontId="1" fillId="2" borderId="2" xfId="0" applyFont="1" applyFill="1" applyBorder="1" applyAlignment="1">
      <alignment horizontal="left" vertical="top"/>
    </xf>
    <xf numFmtId="14" fontId="0" fillId="0" borderId="1" xfId="0" applyNumberFormat="1" applyBorder="1" applyAlignment="1">
      <alignment horizontal="left" vertical="top"/>
    </xf>
    <xf numFmtId="14" fontId="0" fillId="0" borderId="2" xfId="0" applyNumberFormat="1" applyBorder="1" applyAlignment="1">
      <alignment horizontal="left" vertical="top"/>
    </xf>
    <xf numFmtId="0" fontId="0" fillId="0" borderId="0" xfId="0" applyAlignment="1">
      <alignment horizontal="left" vertical="top" wrapText="1"/>
    </xf>
    <xf numFmtId="0" fontId="0" fillId="0" borderId="0" xfId="0" applyAlignment="1">
      <alignment horizontal="left" vertical="top"/>
    </xf>
    <xf numFmtId="0" fontId="0" fillId="0" borderId="0" xfId="0" applyAlignment="1">
      <alignment horizontal="left" vertical="top" indent="2"/>
    </xf>
    <xf numFmtId="0" fontId="0" fillId="0" borderId="0" xfId="0" applyAlignment="1">
      <alignment horizontal="left" indent="2"/>
    </xf>
  </cellXfs>
  <cellStyles count="2">
    <cellStyle name="Hyperlink" xfId="1" builtinId="8"/>
    <cellStyle name="Normal" xfId="0" builtinId="0"/>
  </cellStyles>
  <dxfs count="76">
    <dxf>
      <font>
        <color auto="1"/>
      </font>
      <fill>
        <patternFill>
          <bgColor theme="0" tint="-4.9989318521683403E-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8" tint="0.39994506668294322"/>
        </patternFill>
      </fill>
    </dxf>
    <dxf>
      <font>
        <color auto="1"/>
      </font>
      <fill>
        <patternFill>
          <bgColor theme="8" tint="0.79998168889431442"/>
        </patternFill>
      </fill>
    </dxf>
    <dxf>
      <font>
        <color theme="0"/>
      </font>
      <fill>
        <patternFill>
          <bgColor rgb="FF0D97FF"/>
        </patternFill>
      </fill>
    </dxf>
    <dxf>
      <numFmt numFmtId="164" formatCode="\&gt;\ \&gt;\ \&gt;\ \&gt;\ \&gt;\ @"/>
    </dxf>
    <dxf>
      <numFmt numFmtId="165" formatCode="\&gt;\ \&gt;\ \&gt;\ \&gt;\ @"/>
    </dxf>
    <dxf>
      <numFmt numFmtId="166" formatCode="\&gt;\ \&gt;\ \&gt;\ @"/>
    </dxf>
    <dxf>
      <numFmt numFmtId="167" formatCode="\&gt;\ \&gt;\ @"/>
    </dxf>
    <dxf>
      <numFmt numFmtId="168" formatCode="\&gt;\ @"/>
    </dxf>
    <dxf>
      <font>
        <b/>
        <i val="0"/>
      </font>
      <numFmt numFmtId="169" formatCode="\&gt;\ \&gt;\ \&gt;\ \&gt;\ @\ \&gt;"/>
    </dxf>
    <dxf>
      <font>
        <b/>
        <i val="0"/>
      </font>
      <numFmt numFmtId="170" formatCode="\&gt;\ \&gt;\ \&gt;\ @\ \&gt;"/>
    </dxf>
    <dxf>
      <font>
        <b/>
        <i val="0"/>
      </font>
      <numFmt numFmtId="171" formatCode="\&gt;\ \&gt;\ @\ \&gt;"/>
    </dxf>
    <dxf>
      <font>
        <b/>
        <i val="0"/>
      </font>
      <numFmt numFmtId="172" formatCode="\&gt;\ @\ \&gt;"/>
    </dxf>
    <dxf>
      <font>
        <b/>
        <i val="0"/>
      </font>
      <numFmt numFmtId="173" formatCode="@\ \&gt;"/>
    </dxf>
    <dxf>
      <font>
        <color theme="0"/>
      </font>
      <fill>
        <patternFill>
          <bgColor rgb="FF0D97FF"/>
        </patternFill>
      </fill>
    </dxf>
    <dxf>
      <font>
        <color auto="1"/>
      </font>
      <fill>
        <patternFill>
          <bgColor theme="8" tint="0.79998168889431442"/>
        </patternFill>
      </fill>
    </dxf>
    <dxf>
      <numFmt numFmtId="164" formatCode="\&gt;\ \&gt;\ \&gt;\ \&gt;\ \&gt;\ @"/>
    </dxf>
    <dxf>
      <numFmt numFmtId="165" formatCode="\&gt;\ \&gt;\ \&gt;\ \&gt;\ @"/>
    </dxf>
    <dxf>
      <numFmt numFmtId="166" formatCode="\&gt;\ \&gt;\ \&gt;\ @"/>
    </dxf>
    <dxf>
      <numFmt numFmtId="167" formatCode="\&gt;\ \&gt;\ @"/>
    </dxf>
    <dxf>
      <numFmt numFmtId="168" formatCode="\&gt;\ @"/>
    </dxf>
    <dxf>
      <numFmt numFmtId="169" formatCode="\&gt;\ \&gt;\ \&gt;\ \&gt;\ @\ \&gt;"/>
    </dxf>
    <dxf>
      <numFmt numFmtId="170" formatCode="\&gt;\ \&gt;\ \&gt;\ @\ \&gt;"/>
    </dxf>
    <dxf>
      <numFmt numFmtId="171" formatCode="\&gt;\ \&gt;\ @\ \&gt;"/>
    </dxf>
    <dxf>
      <numFmt numFmtId="172" formatCode="\&gt;\ @\ \&gt;"/>
    </dxf>
    <dxf>
      <numFmt numFmtId="173" formatCode="@\ \&gt;"/>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center" vertical="top" textRotation="0" wrapText="0" indent="0" justifyLastLine="0" shrinkToFit="0" readingOrder="0"/>
    </dxf>
    <dxf>
      <numFmt numFmtId="0" formatCode="General"/>
      <alignment vertical="top" textRotation="0" wrapText="0" indent="0" justifyLastLine="0" shrinkToFit="0" readingOrder="0"/>
    </dxf>
    <dxf>
      <alignment vertical="top" textRotation="0" wrapText="0" indent="0" justifyLastLine="0" shrinkToFit="0" readingOrder="0"/>
    </dxf>
    <dxf>
      <font>
        <strike val="0"/>
        <outline val="0"/>
        <shadow val="0"/>
        <u val="none"/>
        <vertAlign val="baseline"/>
        <sz val="12"/>
        <color theme="1"/>
        <name val="Calibri"/>
        <family val="2"/>
        <scheme val="minor"/>
      </font>
      <alignment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center" vertical="top" textRotation="0" wrapText="0" indent="0" justifyLastLine="0" shrinkToFit="0" readingOrder="0"/>
    </dxf>
    <dxf>
      <numFmt numFmtId="0" formatCode="General"/>
      <alignment vertical="top" textRotation="0" wrapText="0" indent="0" justifyLastLine="0" shrinkToFit="0" readingOrder="0"/>
    </dxf>
    <dxf>
      <alignment vertical="top" textRotation="0" wrapText="0" indent="0" justifyLastLine="0" shrinkToFit="0" readingOrder="0"/>
    </dxf>
    <dxf>
      <font>
        <strike val="0"/>
        <outline val="0"/>
        <shadow val="0"/>
        <u val="none"/>
        <vertAlign val="baseline"/>
        <sz val="12"/>
        <color theme="1"/>
        <name val="Calibri"/>
        <family val="2"/>
        <scheme val="minor"/>
      </font>
      <alignment vertical="top" textRotation="0" wrapText="0" indent="0" justifyLastLine="0" shrinkToFit="0" readingOrder="0"/>
    </dxf>
  </dxfs>
  <tableStyles count="0" defaultTableStyle="TableStyleMedium2" defaultPivotStyle="PivotStyleLight16"/>
  <colors>
    <mruColors>
      <color rgb="FF0D9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_rels/drawing3.xml.rels><?xml version="1.0" encoding="UTF-8" standalone="yes"?>
<Relationships xmlns="http://schemas.openxmlformats.org/package/2006/relationships"><Relationship Id="rId3" Type="http://schemas.openxmlformats.org/officeDocument/2006/relationships/hyperlink" Target="#'Polar to Mix'!A1"/><Relationship Id="rId2" Type="http://schemas.openxmlformats.org/officeDocument/2006/relationships/hyperlink" Target="#joyProcessing!A1"/><Relationship Id="rId1" Type="http://schemas.openxmlformats.org/officeDocument/2006/relationships/hyperlink" Target="#MotorControl!A1"/><Relationship Id="rId4" Type="http://schemas.openxmlformats.org/officeDocument/2006/relationships/hyperlink" Target="#UI_Select!A1"/></Relationships>
</file>

<file path=xl/drawings/_rels/drawing4.xml.rels><?xml version="1.0" encoding="UTF-8" standalone="yes"?>
<Relationships xmlns="http://schemas.openxmlformats.org/package/2006/relationships"><Relationship Id="rId1" Type="http://schemas.openxmlformats.org/officeDocument/2006/relationships/hyperlink" Target="#'SW Connection Diagram'!A1"/></Relationships>
</file>

<file path=xl/drawings/_rels/drawing5.xml.rels><?xml version="1.0" encoding="UTF-8" standalone="yes"?>
<Relationships xmlns="http://schemas.openxmlformats.org/package/2006/relationships"><Relationship Id="rId3" Type="http://schemas.openxmlformats.org/officeDocument/2006/relationships/hyperlink" Target="#'SW Connection Diagram'!A1"/><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hyperlink" Target="#'SW Connection Diagram'!A1"/></Relationships>
</file>

<file path=xl/drawings/_rels/drawing7.xml.rels><?xml version="1.0" encoding="UTF-8" standalone="yes"?>
<Relationships xmlns="http://schemas.openxmlformats.org/package/2006/relationships"><Relationship Id="rId3" Type="http://schemas.openxmlformats.org/officeDocument/2006/relationships/hyperlink" Target="#'SW Connection Diagram'!A1"/><Relationship Id="rId2" Type="http://schemas.openxmlformats.org/officeDocument/2006/relationships/image" Target="../media/image4.png"/><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1" Type="http://schemas.openxmlformats.org/officeDocument/2006/relationships/hyperlink" Target="#'SW Connection Diagram'!A1"/></Relationships>
</file>

<file path=xl/drawings/_rels/drawing9.xml.rels><?xml version="1.0" encoding="UTF-8" standalone="yes"?>
<Relationships xmlns="http://schemas.openxmlformats.org/package/2006/relationships"><Relationship Id="rId1" Type="http://schemas.openxmlformats.org/officeDocument/2006/relationships/hyperlink" Target="#'SW Connection Diagram'!A1"/></Relationships>
</file>

<file path=xl/drawings/drawing1.xml><?xml version="1.0" encoding="utf-8"?>
<xdr:wsDr xmlns:xdr="http://schemas.openxmlformats.org/drawingml/2006/spreadsheetDrawing" xmlns:a="http://schemas.openxmlformats.org/drawingml/2006/main">
  <xdr:twoCellAnchor editAs="oneCell">
    <xdr:from>
      <xdr:col>0</xdr:col>
      <xdr:colOff>95250</xdr:colOff>
      <xdr:row>5</xdr:row>
      <xdr:rowOff>23813</xdr:rowOff>
    </xdr:from>
    <xdr:to>
      <xdr:col>0</xdr:col>
      <xdr:colOff>304800</xdr:colOff>
      <xdr:row>5</xdr:row>
      <xdr:rowOff>147638</xdr:rowOff>
    </xdr:to>
    <xdr:sp macro="[0]!Outdent" textlink="">
      <xdr:nvSpPr>
        <xdr:cNvPr id="2" name="Arrow: Left 1">
          <a:extLst>
            <a:ext uri="{FF2B5EF4-FFF2-40B4-BE49-F238E27FC236}">
              <a16:creationId xmlns:a16="http://schemas.microsoft.com/office/drawing/2014/main" id="{B0C3E389-54DE-38CA-50BE-F814FEB96084}"/>
            </a:ext>
          </a:extLst>
        </xdr:cNvPr>
        <xdr:cNvSpPr/>
      </xdr:nvSpPr>
      <xdr:spPr>
        <a:xfrm>
          <a:off x="95250" y="1147763"/>
          <a:ext cx="209550" cy="123825"/>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447675</xdr:colOff>
      <xdr:row>5</xdr:row>
      <xdr:rowOff>23813</xdr:rowOff>
    </xdr:from>
    <xdr:to>
      <xdr:col>0</xdr:col>
      <xdr:colOff>657225</xdr:colOff>
      <xdr:row>5</xdr:row>
      <xdr:rowOff>147638</xdr:rowOff>
    </xdr:to>
    <xdr:sp macro="[0]!Indent" textlink="">
      <xdr:nvSpPr>
        <xdr:cNvPr id="3" name="Arrow: Left 2">
          <a:extLst>
            <a:ext uri="{FF2B5EF4-FFF2-40B4-BE49-F238E27FC236}">
              <a16:creationId xmlns:a16="http://schemas.microsoft.com/office/drawing/2014/main" id="{BF1E354A-F870-438E-AF92-E3C893F119CE}"/>
            </a:ext>
          </a:extLst>
        </xdr:cNvPr>
        <xdr:cNvSpPr/>
      </xdr:nvSpPr>
      <xdr:spPr>
        <a:xfrm flipH="1">
          <a:off x="447675" y="1147763"/>
          <a:ext cx="209550" cy="123825"/>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95250</xdr:colOff>
      <xdr:row>5</xdr:row>
      <xdr:rowOff>23813</xdr:rowOff>
    </xdr:from>
    <xdr:to>
      <xdr:col>0</xdr:col>
      <xdr:colOff>304800</xdr:colOff>
      <xdr:row>5</xdr:row>
      <xdr:rowOff>147638</xdr:rowOff>
    </xdr:to>
    <xdr:sp macro="[0]!Outdent" textlink="">
      <xdr:nvSpPr>
        <xdr:cNvPr id="2" name="Arrow: Left 1">
          <a:extLst>
            <a:ext uri="{FF2B5EF4-FFF2-40B4-BE49-F238E27FC236}">
              <a16:creationId xmlns:a16="http://schemas.microsoft.com/office/drawing/2014/main" id="{0A2A9D49-B600-44EE-806D-8E0AD8C13DAF}"/>
            </a:ext>
          </a:extLst>
        </xdr:cNvPr>
        <xdr:cNvSpPr/>
      </xdr:nvSpPr>
      <xdr:spPr>
        <a:xfrm>
          <a:off x="95250" y="1147763"/>
          <a:ext cx="209550" cy="123825"/>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447675</xdr:colOff>
      <xdr:row>5</xdr:row>
      <xdr:rowOff>23813</xdr:rowOff>
    </xdr:from>
    <xdr:to>
      <xdr:col>0</xdr:col>
      <xdr:colOff>657225</xdr:colOff>
      <xdr:row>5</xdr:row>
      <xdr:rowOff>147638</xdr:rowOff>
    </xdr:to>
    <xdr:sp macro="[0]!Indent" textlink="">
      <xdr:nvSpPr>
        <xdr:cNvPr id="3" name="Arrow: Left 2">
          <a:extLst>
            <a:ext uri="{FF2B5EF4-FFF2-40B4-BE49-F238E27FC236}">
              <a16:creationId xmlns:a16="http://schemas.microsoft.com/office/drawing/2014/main" id="{F1CD8A55-0056-4B72-9297-F02603597011}"/>
            </a:ext>
          </a:extLst>
        </xdr:cNvPr>
        <xdr:cNvSpPr/>
      </xdr:nvSpPr>
      <xdr:spPr>
        <a:xfrm flipH="1">
          <a:off x="447675" y="1147763"/>
          <a:ext cx="209550" cy="123825"/>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400051</xdr:colOff>
      <xdr:row>0</xdr:row>
      <xdr:rowOff>156883</xdr:rowOff>
    </xdr:from>
    <xdr:to>
      <xdr:col>29</xdr:col>
      <xdr:colOff>112059</xdr:colOff>
      <xdr:row>36</xdr:row>
      <xdr:rowOff>56035</xdr:rowOff>
    </xdr:to>
    <xdr:sp macro="" textlink="">
      <xdr:nvSpPr>
        <xdr:cNvPr id="15" name="Rectangle: Rounded Corners 14">
          <a:extLst>
            <a:ext uri="{FF2B5EF4-FFF2-40B4-BE49-F238E27FC236}">
              <a16:creationId xmlns:a16="http://schemas.microsoft.com/office/drawing/2014/main" id="{1CBE1FC8-9F2D-41F6-B67D-C0F65C1BFE4B}"/>
            </a:ext>
          </a:extLst>
        </xdr:cNvPr>
        <xdr:cNvSpPr/>
      </xdr:nvSpPr>
      <xdr:spPr>
        <a:xfrm>
          <a:off x="2820522" y="156883"/>
          <a:ext cx="14839949" cy="6757152"/>
        </a:xfrm>
        <a:prstGeom prst="roundRect">
          <a:avLst>
            <a:gd name="adj" fmla="val 2883"/>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SOFTWARE</a:t>
          </a:r>
        </a:p>
      </xdr:txBody>
    </xdr:sp>
    <xdr:clientData/>
  </xdr:twoCellAnchor>
  <xdr:twoCellAnchor>
    <xdr:from>
      <xdr:col>4</xdr:col>
      <xdr:colOff>500901</xdr:colOff>
      <xdr:row>2</xdr:row>
      <xdr:rowOff>114300</xdr:rowOff>
    </xdr:from>
    <xdr:to>
      <xdr:col>11</xdr:col>
      <xdr:colOff>526678</xdr:colOff>
      <xdr:row>33</xdr:row>
      <xdr:rowOff>89647</xdr:rowOff>
    </xdr:to>
    <xdr:sp macro="" textlink="">
      <xdr:nvSpPr>
        <xdr:cNvPr id="39" name="Rectangle: Rounded Corners 38">
          <a:extLst>
            <a:ext uri="{FF2B5EF4-FFF2-40B4-BE49-F238E27FC236}">
              <a16:creationId xmlns:a16="http://schemas.microsoft.com/office/drawing/2014/main" id="{218F8116-F633-49E5-8E40-FD7F9399B015}"/>
            </a:ext>
          </a:extLst>
        </xdr:cNvPr>
        <xdr:cNvSpPr/>
      </xdr:nvSpPr>
      <xdr:spPr>
        <a:xfrm>
          <a:off x="2921372" y="495300"/>
          <a:ext cx="4261600" cy="5880847"/>
        </a:xfrm>
        <a:prstGeom prst="roundRect">
          <a:avLst>
            <a:gd name="adj" fmla="val 4566"/>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INPUT</a:t>
          </a:r>
          <a:r>
            <a:rPr lang="en-US" sz="1100" baseline="0">
              <a:solidFill>
                <a:sysClr val="windowText" lastClr="000000"/>
              </a:solidFill>
            </a:rPr>
            <a:t> </a:t>
          </a:r>
          <a:r>
            <a:rPr lang="en-US" sz="1100">
              <a:solidFill>
                <a:sysClr val="windowText" lastClr="000000"/>
              </a:solidFill>
            </a:rPr>
            <a:t>FILTER,</a:t>
          </a:r>
          <a:r>
            <a:rPr lang="en-US" sz="1100" baseline="0">
              <a:solidFill>
                <a:sysClr val="windowText" lastClr="000000"/>
              </a:solidFill>
            </a:rPr>
            <a:t> SCALING, DIAG</a:t>
          </a:r>
          <a:endParaRPr lang="en-US" sz="1100">
            <a:solidFill>
              <a:sysClr val="windowText" lastClr="000000"/>
            </a:solidFill>
          </a:endParaRPr>
        </a:p>
      </xdr:txBody>
    </xdr:sp>
    <xdr:clientData/>
  </xdr:twoCellAnchor>
  <xdr:twoCellAnchor>
    <xdr:from>
      <xdr:col>10</xdr:col>
      <xdr:colOff>9524</xdr:colOff>
      <xdr:row>10</xdr:row>
      <xdr:rowOff>72003</xdr:rowOff>
    </xdr:from>
    <xdr:to>
      <xdr:col>19</xdr:col>
      <xdr:colOff>467284</xdr:colOff>
      <xdr:row>27</xdr:row>
      <xdr:rowOff>75084</xdr:rowOff>
    </xdr:to>
    <xdr:cxnSp macro="">
      <xdr:nvCxnSpPr>
        <xdr:cNvPr id="107" name="Connector: Elbow 106">
          <a:extLst>
            <a:ext uri="{FF2B5EF4-FFF2-40B4-BE49-F238E27FC236}">
              <a16:creationId xmlns:a16="http://schemas.microsoft.com/office/drawing/2014/main" id="{1B2ECB8C-9189-4136-BDFA-90371078A2B1}"/>
            </a:ext>
          </a:extLst>
        </xdr:cNvPr>
        <xdr:cNvCxnSpPr>
          <a:stCxn id="31" idx="3"/>
          <a:endCxn id="102" idx="0"/>
        </xdr:cNvCxnSpPr>
      </xdr:nvCxnSpPr>
      <xdr:spPr>
        <a:xfrm>
          <a:off x="6060700" y="1977003"/>
          <a:ext cx="5903819" cy="3241581"/>
        </a:xfrm>
        <a:prstGeom prst="bentConnector2">
          <a:avLst/>
        </a:prstGeom>
        <a:ln>
          <a:solidFill>
            <a:schemeClr val="bg1">
              <a:lumMod val="8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347380</xdr:colOff>
      <xdr:row>8</xdr:row>
      <xdr:rowOff>19616</xdr:rowOff>
    </xdr:from>
    <xdr:to>
      <xdr:col>22</xdr:col>
      <xdr:colOff>149545</xdr:colOff>
      <xdr:row>28</xdr:row>
      <xdr:rowOff>160937</xdr:rowOff>
    </xdr:to>
    <xdr:cxnSp macro="">
      <xdr:nvCxnSpPr>
        <xdr:cNvPr id="127" name="Connector: Elbow 126">
          <a:extLst>
            <a:ext uri="{FF2B5EF4-FFF2-40B4-BE49-F238E27FC236}">
              <a16:creationId xmlns:a16="http://schemas.microsoft.com/office/drawing/2014/main" id="{E3CC939B-977D-4FCB-B8FB-C19C79C42613}"/>
            </a:ext>
          </a:extLst>
        </xdr:cNvPr>
        <xdr:cNvCxnSpPr>
          <a:cxnSpLocks/>
          <a:stCxn id="84" idx="3"/>
          <a:endCxn id="229" idx="1"/>
        </xdr:cNvCxnSpPr>
      </xdr:nvCxnSpPr>
      <xdr:spPr>
        <a:xfrm>
          <a:off x="3978086" y="1543616"/>
          <a:ext cx="9484047" cy="3951321"/>
        </a:xfrm>
        <a:prstGeom prst="bentConnector3">
          <a:avLst>
            <a:gd name="adj1" fmla="val 93599"/>
          </a:avLst>
        </a:prstGeom>
        <a:ln>
          <a:solidFill>
            <a:schemeClr val="bg1">
              <a:lumMod val="8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457201</xdr:colOff>
      <xdr:row>0</xdr:row>
      <xdr:rowOff>156882</xdr:rowOff>
    </xdr:from>
    <xdr:to>
      <xdr:col>4</xdr:col>
      <xdr:colOff>114300</xdr:colOff>
      <xdr:row>36</xdr:row>
      <xdr:rowOff>76765</xdr:rowOff>
    </xdr:to>
    <xdr:sp macro="" textlink="">
      <xdr:nvSpPr>
        <xdr:cNvPr id="2" name="Rectangle: Rounded Corners 1">
          <a:extLst>
            <a:ext uri="{FF2B5EF4-FFF2-40B4-BE49-F238E27FC236}">
              <a16:creationId xmlns:a16="http://schemas.microsoft.com/office/drawing/2014/main" id="{109A4ADB-1F40-33F7-A10B-2FF3B167D952}"/>
            </a:ext>
          </a:extLst>
        </xdr:cNvPr>
        <xdr:cNvSpPr/>
      </xdr:nvSpPr>
      <xdr:spPr>
        <a:xfrm>
          <a:off x="457201" y="156882"/>
          <a:ext cx="2077570" cy="6777883"/>
        </a:xfrm>
        <a:prstGeom prst="roundRect">
          <a:avLst>
            <a:gd name="adj" fmla="val 768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HW</a:t>
          </a:r>
          <a:r>
            <a:rPr lang="en-US" sz="1100" baseline="0">
              <a:solidFill>
                <a:sysClr val="windowText" lastClr="000000"/>
              </a:solidFill>
            </a:rPr>
            <a:t> </a:t>
          </a:r>
          <a:r>
            <a:rPr lang="en-US" sz="1100">
              <a:solidFill>
                <a:sysClr val="windowText" lastClr="000000"/>
              </a:solidFill>
            </a:rPr>
            <a:t>INPUTS</a:t>
          </a:r>
        </a:p>
      </xdr:txBody>
    </xdr:sp>
    <xdr:clientData/>
  </xdr:twoCellAnchor>
  <xdr:twoCellAnchor>
    <xdr:from>
      <xdr:col>29</xdr:col>
      <xdr:colOff>369793</xdr:colOff>
      <xdr:row>5</xdr:row>
      <xdr:rowOff>25779</xdr:rowOff>
    </xdr:from>
    <xdr:to>
      <xdr:col>31</xdr:col>
      <xdr:colOff>417418</xdr:colOff>
      <xdr:row>31</xdr:row>
      <xdr:rowOff>111504</xdr:rowOff>
    </xdr:to>
    <xdr:sp macro="" textlink="">
      <xdr:nvSpPr>
        <xdr:cNvPr id="3" name="Rectangle: Rounded Corners 2">
          <a:extLst>
            <a:ext uri="{FF2B5EF4-FFF2-40B4-BE49-F238E27FC236}">
              <a16:creationId xmlns:a16="http://schemas.microsoft.com/office/drawing/2014/main" id="{B025DB51-D395-F96F-1EC1-85C35F5CB3B7}"/>
            </a:ext>
          </a:extLst>
        </xdr:cNvPr>
        <xdr:cNvSpPr/>
      </xdr:nvSpPr>
      <xdr:spPr>
        <a:xfrm>
          <a:off x="17918205" y="978279"/>
          <a:ext cx="1257860" cy="503872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HW OUTPUTS</a:t>
          </a:r>
        </a:p>
      </xdr:txBody>
    </xdr:sp>
    <xdr:clientData/>
  </xdr:twoCellAnchor>
  <xdr:twoCellAnchor>
    <xdr:from>
      <xdr:col>1</xdr:col>
      <xdr:colOff>57149</xdr:colOff>
      <xdr:row>4</xdr:row>
      <xdr:rowOff>133916</xdr:rowOff>
    </xdr:from>
    <xdr:to>
      <xdr:col>4</xdr:col>
      <xdr:colOff>19051</xdr:colOff>
      <xdr:row>20</xdr:row>
      <xdr:rowOff>114866</xdr:rowOff>
    </xdr:to>
    <xdr:sp macro="" textlink="">
      <xdr:nvSpPr>
        <xdr:cNvPr id="7" name="Rectangle: Rounded Corners 6">
          <a:extLst>
            <a:ext uri="{FF2B5EF4-FFF2-40B4-BE49-F238E27FC236}">
              <a16:creationId xmlns:a16="http://schemas.microsoft.com/office/drawing/2014/main" id="{EDFAF646-B8F4-4819-AB2A-C904F37D15F4}"/>
            </a:ext>
          </a:extLst>
        </xdr:cNvPr>
        <xdr:cNvSpPr/>
      </xdr:nvSpPr>
      <xdr:spPr>
        <a:xfrm>
          <a:off x="662267" y="895916"/>
          <a:ext cx="1777255" cy="3028950"/>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ysClr val="windowText" lastClr="000000"/>
              </a:solidFill>
            </a:rPr>
            <a:t>ANALOG</a:t>
          </a:r>
          <a:endParaRPr lang="en-US" sz="1100">
            <a:solidFill>
              <a:sysClr val="windowText" lastClr="000000"/>
            </a:solidFill>
          </a:endParaRPr>
        </a:p>
      </xdr:txBody>
    </xdr:sp>
    <xdr:clientData/>
  </xdr:twoCellAnchor>
  <xdr:twoCellAnchor>
    <xdr:from>
      <xdr:col>1</xdr:col>
      <xdr:colOff>66673</xdr:colOff>
      <xdr:row>27</xdr:row>
      <xdr:rowOff>57715</xdr:rowOff>
    </xdr:from>
    <xdr:to>
      <xdr:col>3</xdr:col>
      <xdr:colOff>561975</xdr:colOff>
      <xdr:row>35</xdr:row>
      <xdr:rowOff>181538</xdr:rowOff>
    </xdr:to>
    <xdr:sp macro="" textlink="">
      <xdr:nvSpPr>
        <xdr:cNvPr id="9" name="Rectangle: Rounded Corners 8">
          <a:extLst>
            <a:ext uri="{FF2B5EF4-FFF2-40B4-BE49-F238E27FC236}">
              <a16:creationId xmlns:a16="http://schemas.microsoft.com/office/drawing/2014/main" id="{4A395B0A-720D-4AFD-B722-356637FDB1CF}"/>
            </a:ext>
          </a:extLst>
        </xdr:cNvPr>
        <xdr:cNvSpPr/>
      </xdr:nvSpPr>
      <xdr:spPr>
        <a:xfrm>
          <a:off x="671791" y="5201215"/>
          <a:ext cx="1705537" cy="1647823"/>
        </a:xfrm>
        <a:prstGeom prst="roundRect">
          <a:avLst>
            <a:gd name="adj" fmla="val 603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ysClr val="windowText" lastClr="000000"/>
              </a:solidFill>
            </a:rPr>
            <a:t>DIGITAL</a:t>
          </a:r>
          <a:endParaRPr lang="en-US" sz="1100">
            <a:solidFill>
              <a:sysClr val="windowText" lastClr="000000"/>
            </a:solidFill>
          </a:endParaRPr>
        </a:p>
      </xdr:txBody>
    </xdr:sp>
    <xdr:clientData/>
  </xdr:twoCellAnchor>
  <xdr:twoCellAnchor>
    <xdr:from>
      <xdr:col>21</xdr:col>
      <xdr:colOff>351862</xdr:colOff>
      <xdr:row>7</xdr:row>
      <xdr:rowOff>51552</xdr:rowOff>
    </xdr:from>
    <xdr:to>
      <xdr:col>25</xdr:col>
      <xdr:colOff>463441</xdr:colOff>
      <xdr:row>20</xdr:row>
      <xdr:rowOff>54353</xdr:rowOff>
    </xdr:to>
    <xdr:sp macro="" textlink="">
      <xdr:nvSpPr>
        <xdr:cNvPr id="209" name="Rectangle: Rounded Corners 208">
          <a:hlinkClick xmlns:r="http://schemas.openxmlformats.org/officeDocument/2006/relationships" r:id="rId1"/>
          <a:extLst>
            <a:ext uri="{FF2B5EF4-FFF2-40B4-BE49-F238E27FC236}">
              <a16:creationId xmlns:a16="http://schemas.microsoft.com/office/drawing/2014/main" id="{AAF6EC46-1469-4898-9F34-322687EE3D2E}"/>
            </a:ext>
          </a:extLst>
        </xdr:cNvPr>
        <xdr:cNvSpPr/>
      </xdr:nvSpPr>
      <xdr:spPr>
        <a:xfrm>
          <a:off x="13059333" y="1385052"/>
          <a:ext cx="2532049" cy="2479301"/>
        </a:xfrm>
        <a:prstGeom prst="roundRect">
          <a:avLst>
            <a:gd name="adj" fmla="val 5073"/>
          </a:avLst>
        </a:prstGeom>
        <a:solidFill>
          <a:schemeClr val="bg1"/>
        </a:solidFill>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MotorControl  LEFT</a:t>
          </a:r>
        </a:p>
        <a:p>
          <a:pPr algn="l"/>
          <a:r>
            <a:rPr lang="en-US" sz="1100">
              <a:solidFill>
                <a:sysClr val="windowText" lastClr="000000"/>
              </a:solidFill>
              <a:effectLst/>
              <a:latin typeface="+mn-lt"/>
              <a:ea typeface="+mn-ea"/>
              <a:cs typeface="+mn-cs"/>
            </a:rPr>
            <a:t>with ZeroCrossing </a:t>
          </a:r>
          <a:endParaRPr lang="en-US" sz="1100">
            <a:solidFill>
              <a:sysClr val="windowText" lastClr="000000"/>
            </a:solidFill>
          </a:endParaRPr>
        </a:p>
      </xdr:txBody>
    </xdr:sp>
    <xdr:clientData/>
  </xdr:twoCellAnchor>
  <xdr:twoCellAnchor>
    <xdr:from>
      <xdr:col>22</xdr:col>
      <xdr:colOff>149545</xdr:colOff>
      <xdr:row>22</xdr:row>
      <xdr:rowOff>43400</xdr:rowOff>
    </xdr:from>
    <xdr:to>
      <xdr:col>25</xdr:col>
      <xdr:colOff>192181</xdr:colOff>
      <xdr:row>35</xdr:row>
      <xdr:rowOff>87974</xdr:rowOff>
    </xdr:to>
    <xdr:sp macro="" textlink="">
      <xdr:nvSpPr>
        <xdr:cNvPr id="229" name="Rectangle: Rounded Corners 228">
          <a:extLst>
            <a:ext uri="{FF2B5EF4-FFF2-40B4-BE49-F238E27FC236}">
              <a16:creationId xmlns:a16="http://schemas.microsoft.com/office/drawing/2014/main" id="{FC00A95D-6BF6-4202-86DB-CE186739198A}"/>
            </a:ext>
          </a:extLst>
        </xdr:cNvPr>
        <xdr:cNvSpPr/>
      </xdr:nvSpPr>
      <xdr:spPr>
        <a:xfrm>
          <a:off x="13462133" y="4234400"/>
          <a:ext cx="1857989" cy="2521074"/>
        </a:xfrm>
        <a:prstGeom prst="roundRect">
          <a:avLst>
            <a:gd name="adj" fmla="val 5073"/>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bg2">
                  <a:lumMod val="90000"/>
                </a:schemeClr>
              </a:solidFill>
              <a:latin typeface="+mn-lt"/>
              <a:ea typeface="+mn-ea"/>
              <a:cs typeface="+mn-cs"/>
            </a:rPr>
            <a:t>MotorControl RIGHT</a:t>
          </a:r>
        </a:p>
        <a:p>
          <a:pPr marL="0" indent="0" algn="l"/>
          <a:r>
            <a:rPr lang="en-US" sz="1100">
              <a:solidFill>
                <a:schemeClr val="bg2">
                  <a:lumMod val="90000"/>
                </a:schemeClr>
              </a:solidFill>
              <a:latin typeface="+mn-lt"/>
              <a:ea typeface="+mn-ea"/>
              <a:cs typeface="+mn-cs"/>
            </a:rPr>
            <a:t>with ZeroCrossing </a:t>
          </a:r>
        </a:p>
      </xdr:txBody>
    </xdr:sp>
    <xdr:clientData/>
  </xdr:twoCellAnchor>
  <xdr:twoCellAnchor>
    <xdr:from>
      <xdr:col>1</xdr:col>
      <xdr:colOff>114298</xdr:colOff>
      <xdr:row>22</xdr:row>
      <xdr:rowOff>10090</xdr:rowOff>
    </xdr:from>
    <xdr:to>
      <xdr:col>3</xdr:col>
      <xdr:colOff>590550</xdr:colOff>
      <xdr:row>26</xdr:row>
      <xdr:rowOff>565</xdr:rowOff>
    </xdr:to>
    <xdr:sp macro="" textlink="">
      <xdr:nvSpPr>
        <xdr:cNvPr id="40" name="Rectangle: Rounded Corners 39">
          <a:extLst>
            <a:ext uri="{FF2B5EF4-FFF2-40B4-BE49-F238E27FC236}">
              <a16:creationId xmlns:a16="http://schemas.microsoft.com/office/drawing/2014/main" id="{60B88368-BCB2-4668-A08D-0798789617D7}"/>
            </a:ext>
          </a:extLst>
        </xdr:cNvPr>
        <xdr:cNvSpPr/>
      </xdr:nvSpPr>
      <xdr:spPr>
        <a:xfrm>
          <a:off x="719416" y="4201090"/>
          <a:ext cx="1686487" cy="752475"/>
        </a:xfrm>
        <a:prstGeom prst="roundRect">
          <a:avLst>
            <a:gd name="adj" fmla="val 6039"/>
          </a:avLst>
        </a:prstGeom>
        <a:solidFill>
          <a:schemeClr val="bg1"/>
        </a:solidFill>
        <a:ln>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ysClr val="windowText" lastClr="000000"/>
              </a:solidFill>
              <a:latin typeface="+mn-lt"/>
              <a:ea typeface="+mn-ea"/>
              <a:cs typeface="+mn-cs"/>
            </a:rPr>
            <a:t>COM</a:t>
          </a:r>
        </a:p>
      </xdr:txBody>
    </xdr:sp>
    <xdr:clientData/>
  </xdr:twoCellAnchor>
  <xdr:twoCellAnchor>
    <xdr:from>
      <xdr:col>1</xdr:col>
      <xdr:colOff>533400</xdr:colOff>
      <xdr:row>12</xdr:row>
      <xdr:rowOff>19614</xdr:rowOff>
    </xdr:from>
    <xdr:to>
      <xdr:col>3</xdr:col>
      <xdr:colOff>533400</xdr:colOff>
      <xdr:row>20</xdr:row>
      <xdr:rowOff>57715</xdr:rowOff>
    </xdr:to>
    <xdr:sp macro="" textlink="">
      <xdr:nvSpPr>
        <xdr:cNvPr id="6" name="Rectangle: Rounded Corners 5">
          <a:extLst>
            <a:ext uri="{FF2B5EF4-FFF2-40B4-BE49-F238E27FC236}">
              <a16:creationId xmlns:a16="http://schemas.microsoft.com/office/drawing/2014/main" id="{5F929357-DB97-4CCF-9486-C0969ACD8E58}"/>
            </a:ext>
          </a:extLst>
        </xdr:cNvPr>
        <xdr:cNvSpPr/>
      </xdr:nvSpPr>
      <xdr:spPr>
        <a:xfrm>
          <a:off x="1138518" y="2305614"/>
          <a:ext cx="1210235" cy="1562101"/>
        </a:xfrm>
        <a:prstGeom prst="roundRect">
          <a:avLst>
            <a:gd name="adj" fmla="val 7521"/>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ysClr val="windowText" lastClr="000000"/>
              </a:solidFill>
            </a:rPr>
            <a:t>JOYSTICKS</a:t>
          </a:r>
          <a:endParaRPr lang="en-US" sz="1100">
            <a:solidFill>
              <a:sysClr val="windowText" lastClr="000000"/>
            </a:solidFill>
          </a:endParaRPr>
        </a:p>
      </xdr:txBody>
    </xdr:sp>
    <xdr:clientData/>
  </xdr:twoCellAnchor>
  <xdr:twoCellAnchor>
    <xdr:from>
      <xdr:col>2</xdr:col>
      <xdr:colOff>142875</xdr:colOff>
      <xdr:row>13</xdr:row>
      <xdr:rowOff>124390</xdr:rowOff>
    </xdr:from>
    <xdr:to>
      <xdr:col>3</xdr:col>
      <xdr:colOff>400051</xdr:colOff>
      <xdr:row>15</xdr:row>
      <xdr:rowOff>172015</xdr:rowOff>
    </xdr:to>
    <xdr:sp macro="" textlink="">
      <xdr:nvSpPr>
        <xdr:cNvPr id="4" name="Rectangle: Rounded Corners 3">
          <a:extLst>
            <a:ext uri="{FF2B5EF4-FFF2-40B4-BE49-F238E27FC236}">
              <a16:creationId xmlns:a16="http://schemas.microsoft.com/office/drawing/2014/main" id="{5C37302A-E067-47CC-881C-0886FB5E83A7}"/>
            </a:ext>
          </a:extLst>
        </xdr:cNvPr>
        <xdr:cNvSpPr/>
      </xdr:nvSpPr>
      <xdr:spPr>
        <a:xfrm>
          <a:off x="1353110" y="2600890"/>
          <a:ext cx="862294" cy="42862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ONBOARD</a:t>
          </a:r>
        </a:p>
      </xdr:txBody>
    </xdr:sp>
    <xdr:clientData/>
  </xdr:twoCellAnchor>
  <xdr:twoCellAnchor>
    <xdr:from>
      <xdr:col>2</xdr:col>
      <xdr:colOff>142875</xdr:colOff>
      <xdr:row>17</xdr:row>
      <xdr:rowOff>133915</xdr:rowOff>
    </xdr:from>
    <xdr:to>
      <xdr:col>3</xdr:col>
      <xdr:colOff>419101</xdr:colOff>
      <xdr:row>19</xdr:row>
      <xdr:rowOff>181540</xdr:rowOff>
    </xdr:to>
    <xdr:sp macro="" textlink="">
      <xdr:nvSpPr>
        <xdr:cNvPr id="5" name="Rectangle: Rounded Corners 4">
          <a:extLst>
            <a:ext uri="{FF2B5EF4-FFF2-40B4-BE49-F238E27FC236}">
              <a16:creationId xmlns:a16="http://schemas.microsoft.com/office/drawing/2014/main" id="{E15B7FE0-246E-4428-A8D3-8B9E50A265C9}"/>
            </a:ext>
          </a:extLst>
        </xdr:cNvPr>
        <xdr:cNvSpPr/>
      </xdr:nvSpPr>
      <xdr:spPr>
        <a:xfrm>
          <a:off x="1353110" y="3372415"/>
          <a:ext cx="881344" cy="42862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ysClr val="windowText" lastClr="000000"/>
              </a:solidFill>
            </a:rPr>
            <a:t>TETHER</a:t>
          </a:r>
          <a:endParaRPr lang="en-US" sz="1100">
            <a:solidFill>
              <a:sysClr val="windowText" lastClr="000000"/>
            </a:solidFill>
          </a:endParaRPr>
        </a:p>
      </xdr:txBody>
    </xdr:sp>
    <xdr:clientData/>
  </xdr:twoCellAnchor>
  <xdr:twoCellAnchor>
    <xdr:from>
      <xdr:col>2</xdr:col>
      <xdr:colOff>142875</xdr:colOff>
      <xdr:row>9</xdr:row>
      <xdr:rowOff>80127</xdr:rowOff>
    </xdr:from>
    <xdr:to>
      <xdr:col>3</xdr:col>
      <xdr:colOff>414618</xdr:colOff>
      <xdr:row>11</xdr:row>
      <xdr:rowOff>56034</xdr:rowOff>
    </xdr:to>
    <xdr:sp macro="" textlink="">
      <xdr:nvSpPr>
        <xdr:cNvPr id="8" name="Rectangle: Rounded Corners 7">
          <a:extLst>
            <a:ext uri="{FF2B5EF4-FFF2-40B4-BE49-F238E27FC236}">
              <a16:creationId xmlns:a16="http://schemas.microsoft.com/office/drawing/2014/main" id="{2976D7FB-34EF-4A4C-811A-D4B67E3C9EC0}"/>
            </a:ext>
          </a:extLst>
        </xdr:cNvPr>
        <xdr:cNvSpPr/>
      </xdr:nvSpPr>
      <xdr:spPr>
        <a:xfrm>
          <a:off x="1353110" y="1794627"/>
          <a:ext cx="876861" cy="356907"/>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ysClr val="windowText" lastClr="000000"/>
              </a:solidFill>
            </a:rPr>
            <a:t>SPEED POT</a:t>
          </a:r>
          <a:endParaRPr lang="en-US" sz="1100">
            <a:solidFill>
              <a:sysClr val="windowText" lastClr="000000"/>
            </a:solidFill>
          </a:endParaRPr>
        </a:p>
      </xdr:txBody>
    </xdr:sp>
    <xdr:clientData/>
  </xdr:twoCellAnchor>
  <xdr:twoCellAnchor>
    <xdr:from>
      <xdr:col>2</xdr:col>
      <xdr:colOff>142875</xdr:colOff>
      <xdr:row>33</xdr:row>
      <xdr:rowOff>142880</xdr:rowOff>
    </xdr:from>
    <xdr:to>
      <xdr:col>3</xdr:col>
      <xdr:colOff>400051</xdr:colOff>
      <xdr:row>35</xdr:row>
      <xdr:rowOff>57155</xdr:rowOff>
    </xdr:to>
    <xdr:sp macro="" textlink="">
      <xdr:nvSpPr>
        <xdr:cNvPr id="10" name="Rectangle: Rounded Corners 9">
          <a:extLst>
            <a:ext uri="{FF2B5EF4-FFF2-40B4-BE49-F238E27FC236}">
              <a16:creationId xmlns:a16="http://schemas.microsoft.com/office/drawing/2014/main" id="{55480C2B-E718-4991-906A-AC170E0546E3}"/>
            </a:ext>
          </a:extLst>
        </xdr:cNvPr>
        <xdr:cNvSpPr/>
      </xdr:nvSpPr>
      <xdr:spPr>
        <a:xfrm>
          <a:off x="1353110" y="6429380"/>
          <a:ext cx="862294" cy="29527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JOY SELECT</a:t>
          </a:r>
        </a:p>
      </xdr:txBody>
    </xdr:sp>
    <xdr:clientData/>
  </xdr:twoCellAnchor>
  <xdr:twoCellAnchor>
    <xdr:from>
      <xdr:col>2</xdr:col>
      <xdr:colOff>142875</xdr:colOff>
      <xdr:row>27</xdr:row>
      <xdr:rowOff>131953</xdr:rowOff>
    </xdr:from>
    <xdr:to>
      <xdr:col>3</xdr:col>
      <xdr:colOff>400051</xdr:colOff>
      <xdr:row>30</xdr:row>
      <xdr:rowOff>74803</xdr:rowOff>
    </xdr:to>
    <xdr:sp macro="" textlink="">
      <xdr:nvSpPr>
        <xdr:cNvPr id="11" name="Rectangle: Rounded Corners 10">
          <a:extLst>
            <a:ext uri="{FF2B5EF4-FFF2-40B4-BE49-F238E27FC236}">
              <a16:creationId xmlns:a16="http://schemas.microsoft.com/office/drawing/2014/main" id="{FB6E2342-D605-431C-9DF4-D9289DC2CC5E}"/>
            </a:ext>
          </a:extLst>
        </xdr:cNvPr>
        <xdr:cNvSpPr/>
      </xdr:nvSpPr>
      <xdr:spPr>
        <a:xfrm>
          <a:off x="1353110" y="5275453"/>
          <a:ext cx="862294" cy="514350"/>
        </a:xfrm>
        <a:prstGeom prst="roundRect">
          <a:avLst/>
        </a:prstGeom>
        <a:solidFill>
          <a:schemeClr val="bg1"/>
        </a:solidFill>
        <a:ln>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ONBOARD</a:t>
          </a:r>
          <a:endParaRPr lang="en-US" sz="1100" baseline="0">
            <a:solidFill>
              <a:sysClr val="windowText" lastClr="000000"/>
            </a:solidFill>
          </a:endParaRPr>
        </a:p>
        <a:p>
          <a:pPr algn="l"/>
          <a:r>
            <a:rPr lang="en-US" sz="1100" baseline="0">
              <a:solidFill>
                <a:sysClr val="windowText" lastClr="000000"/>
              </a:solidFill>
            </a:rPr>
            <a:t>BUTTON</a:t>
          </a:r>
          <a:endParaRPr lang="en-US" sz="1100">
            <a:solidFill>
              <a:sysClr val="windowText" lastClr="000000"/>
            </a:solidFill>
          </a:endParaRPr>
        </a:p>
      </xdr:txBody>
    </xdr:sp>
    <xdr:clientData/>
  </xdr:twoCellAnchor>
  <xdr:twoCellAnchor>
    <xdr:from>
      <xdr:col>2</xdr:col>
      <xdr:colOff>142875</xdr:colOff>
      <xdr:row>30</xdr:row>
      <xdr:rowOff>127191</xdr:rowOff>
    </xdr:from>
    <xdr:to>
      <xdr:col>3</xdr:col>
      <xdr:colOff>400051</xdr:colOff>
      <xdr:row>33</xdr:row>
      <xdr:rowOff>70041</xdr:rowOff>
    </xdr:to>
    <xdr:sp macro="" textlink="">
      <xdr:nvSpPr>
        <xdr:cNvPr id="12" name="Rectangle: Rounded Corners 11">
          <a:extLst>
            <a:ext uri="{FF2B5EF4-FFF2-40B4-BE49-F238E27FC236}">
              <a16:creationId xmlns:a16="http://schemas.microsoft.com/office/drawing/2014/main" id="{5D8540FA-9E7C-4770-BA45-9801E87BB137}"/>
            </a:ext>
          </a:extLst>
        </xdr:cNvPr>
        <xdr:cNvSpPr/>
      </xdr:nvSpPr>
      <xdr:spPr>
        <a:xfrm>
          <a:off x="1353110" y="5842191"/>
          <a:ext cx="862294" cy="514350"/>
        </a:xfrm>
        <a:prstGeom prst="roundRect">
          <a:avLst/>
        </a:prstGeom>
        <a:solidFill>
          <a:schemeClr val="bg1"/>
        </a:solidFill>
        <a:ln>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TETHER</a:t>
          </a:r>
          <a:endParaRPr lang="en-US" sz="1100" baseline="0">
            <a:solidFill>
              <a:sysClr val="windowText" lastClr="000000"/>
            </a:solidFill>
          </a:endParaRPr>
        </a:p>
        <a:p>
          <a:pPr algn="l"/>
          <a:r>
            <a:rPr lang="en-US" sz="1100" baseline="0">
              <a:solidFill>
                <a:sysClr val="windowText" lastClr="000000"/>
              </a:solidFill>
            </a:rPr>
            <a:t>BUTTON</a:t>
          </a:r>
          <a:endParaRPr lang="en-US" sz="1100">
            <a:solidFill>
              <a:sysClr val="windowText" lastClr="000000"/>
            </a:solidFill>
          </a:endParaRPr>
        </a:p>
      </xdr:txBody>
    </xdr:sp>
    <xdr:clientData/>
  </xdr:twoCellAnchor>
  <xdr:twoCellAnchor>
    <xdr:from>
      <xdr:col>29</xdr:col>
      <xdr:colOff>569818</xdr:colOff>
      <xdr:row>7</xdr:row>
      <xdr:rowOff>92455</xdr:rowOff>
    </xdr:from>
    <xdr:to>
      <xdr:col>31</xdr:col>
      <xdr:colOff>217394</xdr:colOff>
      <xdr:row>10</xdr:row>
      <xdr:rowOff>73405</xdr:rowOff>
    </xdr:to>
    <xdr:sp macro="" textlink="">
      <xdr:nvSpPr>
        <xdr:cNvPr id="13" name="Rectangle: Rounded Corners 12">
          <a:extLst>
            <a:ext uri="{FF2B5EF4-FFF2-40B4-BE49-F238E27FC236}">
              <a16:creationId xmlns:a16="http://schemas.microsoft.com/office/drawing/2014/main" id="{104F8E5C-EDCF-4F8F-A908-87AA603B88A1}"/>
            </a:ext>
          </a:extLst>
        </xdr:cNvPr>
        <xdr:cNvSpPr/>
      </xdr:nvSpPr>
      <xdr:spPr>
        <a:xfrm>
          <a:off x="18118230" y="1425955"/>
          <a:ext cx="857811" cy="55245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MOTOR LEFT</a:t>
          </a:r>
        </a:p>
      </xdr:txBody>
    </xdr:sp>
    <xdr:clientData/>
  </xdr:twoCellAnchor>
  <xdr:twoCellAnchor>
    <xdr:from>
      <xdr:col>29</xdr:col>
      <xdr:colOff>569818</xdr:colOff>
      <xdr:row>10</xdr:row>
      <xdr:rowOff>140079</xdr:rowOff>
    </xdr:from>
    <xdr:to>
      <xdr:col>31</xdr:col>
      <xdr:colOff>236444</xdr:colOff>
      <xdr:row>13</xdr:row>
      <xdr:rowOff>82929</xdr:rowOff>
    </xdr:to>
    <xdr:sp macro="" textlink="">
      <xdr:nvSpPr>
        <xdr:cNvPr id="14" name="Rectangle: Rounded Corners 13">
          <a:extLst>
            <a:ext uri="{FF2B5EF4-FFF2-40B4-BE49-F238E27FC236}">
              <a16:creationId xmlns:a16="http://schemas.microsoft.com/office/drawing/2014/main" id="{5AC70F27-7B20-4203-BDE9-A0D4A78B0E8D}"/>
            </a:ext>
          </a:extLst>
        </xdr:cNvPr>
        <xdr:cNvSpPr/>
      </xdr:nvSpPr>
      <xdr:spPr>
        <a:xfrm>
          <a:off x="18118230" y="2045079"/>
          <a:ext cx="876861" cy="51435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ysClr val="windowText" lastClr="000000"/>
              </a:solidFill>
            </a:rPr>
            <a:t>MOTOR RIGHT</a:t>
          </a:r>
          <a:endParaRPr lang="en-US" sz="1100">
            <a:solidFill>
              <a:sysClr val="windowText" lastClr="000000"/>
            </a:solidFill>
          </a:endParaRPr>
        </a:p>
      </xdr:txBody>
    </xdr:sp>
    <xdr:clientData/>
  </xdr:twoCellAnchor>
  <xdr:twoCellAnchor>
    <xdr:from>
      <xdr:col>26</xdr:col>
      <xdr:colOff>257735</xdr:colOff>
      <xdr:row>3</xdr:row>
      <xdr:rowOff>156887</xdr:rowOff>
    </xdr:from>
    <xdr:to>
      <xdr:col>28</xdr:col>
      <xdr:colOff>448236</xdr:colOff>
      <xdr:row>35</xdr:row>
      <xdr:rowOff>86290</xdr:rowOff>
    </xdr:to>
    <xdr:sp macro="" textlink="">
      <xdr:nvSpPr>
        <xdr:cNvPr id="17" name="Rectangle: Rounded Corners 16">
          <a:extLst>
            <a:ext uri="{FF2B5EF4-FFF2-40B4-BE49-F238E27FC236}">
              <a16:creationId xmlns:a16="http://schemas.microsoft.com/office/drawing/2014/main" id="{2B2F7A8E-9D27-454B-A850-BB981B4D0A90}"/>
            </a:ext>
          </a:extLst>
        </xdr:cNvPr>
        <xdr:cNvSpPr/>
      </xdr:nvSpPr>
      <xdr:spPr>
        <a:xfrm>
          <a:off x="15990794" y="728387"/>
          <a:ext cx="1400736" cy="6025403"/>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OUTPUT LAYER</a:t>
          </a:r>
        </a:p>
      </xdr:txBody>
    </xdr:sp>
    <xdr:clientData/>
  </xdr:twoCellAnchor>
  <xdr:twoCellAnchor>
    <xdr:from>
      <xdr:col>5</xdr:col>
      <xdr:colOff>30256</xdr:colOff>
      <xdr:row>12</xdr:row>
      <xdr:rowOff>172015</xdr:rowOff>
    </xdr:from>
    <xdr:to>
      <xdr:col>11</xdr:col>
      <xdr:colOff>56030</xdr:colOff>
      <xdr:row>27</xdr:row>
      <xdr:rowOff>19050</xdr:rowOff>
    </xdr:to>
    <xdr:sp macro="" textlink="">
      <xdr:nvSpPr>
        <xdr:cNvPr id="18" name="Rectangle: Rounded Corners 17">
          <a:hlinkClick xmlns:r="http://schemas.openxmlformats.org/officeDocument/2006/relationships" r:id="rId2"/>
          <a:extLst>
            <a:ext uri="{FF2B5EF4-FFF2-40B4-BE49-F238E27FC236}">
              <a16:creationId xmlns:a16="http://schemas.microsoft.com/office/drawing/2014/main" id="{3A7EAACA-2C37-4FFC-85F3-626C6ED944B0}"/>
            </a:ext>
          </a:extLst>
        </xdr:cNvPr>
        <xdr:cNvSpPr/>
      </xdr:nvSpPr>
      <xdr:spPr>
        <a:xfrm>
          <a:off x="3055844" y="2458015"/>
          <a:ext cx="3656480" cy="2704535"/>
        </a:xfrm>
        <a:prstGeom prst="roundRect">
          <a:avLst/>
        </a:prstGeom>
        <a:solidFill>
          <a:schemeClr val="bg1"/>
        </a:solidFill>
        <a:effectLst>
          <a:glow rad="63500">
            <a:schemeClr val="accent5">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joyProcessing</a:t>
          </a:r>
        </a:p>
        <a:p>
          <a:pPr algn="l"/>
          <a:r>
            <a:rPr lang="en-US" sz="1100">
              <a:solidFill>
                <a:sysClr val="windowText" lastClr="000000"/>
              </a:solidFill>
            </a:rPr>
            <a:t>Filter, Diag, Initialize &amp;</a:t>
          </a:r>
          <a:r>
            <a:rPr lang="en-US" sz="1100" baseline="0">
              <a:solidFill>
                <a:sysClr val="windowText" lastClr="000000"/>
              </a:solidFill>
            </a:rPr>
            <a:t> Center (failsafe to Center)</a:t>
          </a:r>
          <a:endParaRPr lang="en-US" sz="1100">
            <a:solidFill>
              <a:sysClr val="windowText" lastClr="000000"/>
            </a:solidFill>
          </a:endParaRPr>
        </a:p>
      </xdr:txBody>
    </xdr:sp>
    <xdr:clientData/>
  </xdr:twoCellAnchor>
  <xdr:twoCellAnchor>
    <xdr:from>
      <xdr:col>8</xdr:col>
      <xdr:colOff>138393</xdr:colOff>
      <xdr:row>16</xdr:row>
      <xdr:rowOff>145677</xdr:rowOff>
    </xdr:from>
    <xdr:to>
      <xdr:col>10</xdr:col>
      <xdr:colOff>574301</xdr:colOff>
      <xdr:row>21</xdr:row>
      <xdr:rowOff>156883</xdr:rowOff>
    </xdr:to>
    <xdr:sp macro="" textlink="">
      <xdr:nvSpPr>
        <xdr:cNvPr id="20" name="Rectangle: Rounded Corners 19">
          <a:extLst>
            <a:ext uri="{FF2B5EF4-FFF2-40B4-BE49-F238E27FC236}">
              <a16:creationId xmlns:a16="http://schemas.microsoft.com/office/drawing/2014/main" id="{BB300E42-3B49-44D5-A823-7C6B03D9012A}"/>
            </a:ext>
          </a:extLst>
        </xdr:cNvPr>
        <xdr:cNvSpPr/>
      </xdr:nvSpPr>
      <xdr:spPr>
        <a:xfrm>
          <a:off x="4979334" y="3193677"/>
          <a:ext cx="1646143" cy="963706"/>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Cartesian (XY) to Polar Coordinates (AR)</a:t>
          </a:r>
        </a:p>
      </xdr:txBody>
    </xdr:sp>
    <xdr:clientData/>
  </xdr:twoCellAnchor>
  <xdr:twoCellAnchor>
    <xdr:from>
      <xdr:col>3</xdr:col>
      <xdr:colOff>400051</xdr:colOff>
      <xdr:row>14</xdr:row>
      <xdr:rowOff>148203</xdr:rowOff>
    </xdr:from>
    <xdr:to>
      <xdr:col>5</xdr:col>
      <xdr:colOff>38100</xdr:colOff>
      <xdr:row>14</xdr:row>
      <xdr:rowOff>152400</xdr:rowOff>
    </xdr:to>
    <xdr:cxnSp macro="">
      <xdr:nvCxnSpPr>
        <xdr:cNvPr id="22" name="Straight Arrow Connector 21">
          <a:extLst>
            <a:ext uri="{FF2B5EF4-FFF2-40B4-BE49-F238E27FC236}">
              <a16:creationId xmlns:a16="http://schemas.microsoft.com/office/drawing/2014/main" id="{3003DB4D-5DC1-2F18-E166-6B7686BC5BF8}"/>
            </a:ext>
          </a:extLst>
        </xdr:cNvPr>
        <xdr:cNvCxnSpPr>
          <a:stCxn id="4" idx="3"/>
        </xdr:cNvCxnSpPr>
      </xdr:nvCxnSpPr>
      <xdr:spPr>
        <a:xfrm>
          <a:off x="2228851" y="2815203"/>
          <a:ext cx="857249" cy="419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419101</xdr:colOff>
      <xdr:row>18</xdr:row>
      <xdr:rowOff>157728</xdr:rowOff>
    </xdr:from>
    <xdr:to>
      <xdr:col>5</xdr:col>
      <xdr:colOff>21771</xdr:colOff>
      <xdr:row>18</xdr:row>
      <xdr:rowOff>167751</xdr:rowOff>
    </xdr:to>
    <xdr:cxnSp macro="">
      <xdr:nvCxnSpPr>
        <xdr:cNvPr id="23" name="Straight Arrow Connector 22">
          <a:extLst>
            <a:ext uri="{FF2B5EF4-FFF2-40B4-BE49-F238E27FC236}">
              <a16:creationId xmlns:a16="http://schemas.microsoft.com/office/drawing/2014/main" id="{4963AB69-70AD-4261-AAA1-CD8612D3B259}"/>
            </a:ext>
          </a:extLst>
        </xdr:cNvPr>
        <xdr:cNvCxnSpPr>
          <a:cxnSpLocks/>
          <a:stCxn id="5" idx="3"/>
        </xdr:cNvCxnSpPr>
      </xdr:nvCxnSpPr>
      <xdr:spPr>
        <a:xfrm>
          <a:off x="2247901" y="3586728"/>
          <a:ext cx="821870" cy="1002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141753</xdr:colOff>
      <xdr:row>14</xdr:row>
      <xdr:rowOff>123265</xdr:rowOff>
    </xdr:from>
    <xdr:to>
      <xdr:col>18</xdr:col>
      <xdr:colOff>89646</xdr:colOff>
      <xdr:row>19</xdr:row>
      <xdr:rowOff>112059</xdr:rowOff>
    </xdr:to>
    <xdr:sp macro="" textlink="">
      <xdr:nvSpPr>
        <xdr:cNvPr id="30" name="Rectangle: Rounded Corners 29">
          <a:hlinkClick xmlns:r="http://schemas.openxmlformats.org/officeDocument/2006/relationships" r:id="rId3"/>
          <a:extLst>
            <a:ext uri="{FF2B5EF4-FFF2-40B4-BE49-F238E27FC236}">
              <a16:creationId xmlns:a16="http://schemas.microsoft.com/office/drawing/2014/main" id="{3756F0D0-D28C-4414-A40B-8E724521EEAC}"/>
            </a:ext>
          </a:extLst>
        </xdr:cNvPr>
        <xdr:cNvSpPr/>
      </xdr:nvSpPr>
      <xdr:spPr>
        <a:xfrm>
          <a:off x="9823635" y="2790265"/>
          <a:ext cx="1158129" cy="941294"/>
        </a:xfrm>
        <a:prstGeom prst="roundRect">
          <a:avLst/>
        </a:prstGeom>
        <a:solidFill>
          <a:schemeClr val="bg1"/>
        </a:solidFill>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Polar</a:t>
          </a:r>
          <a:r>
            <a:rPr lang="en-US" sz="1100" baseline="0">
              <a:solidFill>
                <a:sysClr val="windowText" lastClr="000000"/>
              </a:solidFill>
            </a:rPr>
            <a:t> (AR) to Mix mixL/mixR</a:t>
          </a:r>
        </a:p>
        <a:p>
          <a:pPr algn="l"/>
          <a:r>
            <a:rPr lang="en-US" sz="1100" baseline="0">
              <a:solidFill>
                <a:sysClr val="windowText" lastClr="000000"/>
              </a:solidFill>
            </a:rPr>
            <a:t>and</a:t>
          </a:r>
        </a:p>
        <a:p>
          <a:pPr algn="l"/>
          <a:r>
            <a:rPr lang="en-US" sz="1100" baseline="0">
              <a:solidFill>
                <a:sysClr val="windowText" lastClr="000000"/>
              </a:solidFill>
            </a:rPr>
            <a:t>Scale</a:t>
          </a:r>
        </a:p>
      </xdr:txBody>
    </xdr:sp>
    <xdr:clientData/>
  </xdr:twoCellAnchor>
  <xdr:twoCellAnchor>
    <xdr:from>
      <xdr:col>7</xdr:col>
      <xdr:colOff>496417</xdr:colOff>
      <xdr:row>9</xdr:row>
      <xdr:rowOff>19615</xdr:rowOff>
    </xdr:from>
    <xdr:to>
      <xdr:col>10</xdr:col>
      <xdr:colOff>9524</xdr:colOff>
      <xdr:row>11</xdr:row>
      <xdr:rowOff>124391</xdr:rowOff>
    </xdr:to>
    <xdr:sp macro="" textlink="">
      <xdr:nvSpPr>
        <xdr:cNvPr id="31" name="Rectangle: Rounded Corners 30">
          <a:extLst>
            <a:ext uri="{FF2B5EF4-FFF2-40B4-BE49-F238E27FC236}">
              <a16:creationId xmlns:a16="http://schemas.microsoft.com/office/drawing/2014/main" id="{00175CA4-2623-4E6F-A86B-4EAEE2940E52}"/>
            </a:ext>
          </a:extLst>
        </xdr:cNvPr>
        <xdr:cNvSpPr/>
      </xdr:nvSpPr>
      <xdr:spPr>
        <a:xfrm>
          <a:off x="4732241" y="1734115"/>
          <a:ext cx="1328459" cy="485776"/>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POT</a:t>
          </a:r>
          <a:r>
            <a:rPr lang="en-US" sz="1100" baseline="0">
              <a:solidFill>
                <a:sysClr val="windowText" lastClr="000000"/>
              </a:solidFill>
            </a:rPr>
            <a:t> to PotScale (failsafe to SLOW)</a:t>
          </a:r>
          <a:endParaRPr lang="en-US" sz="1100">
            <a:solidFill>
              <a:sysClr val="windowText" lastClr="000000"/>
            </a:solidFill>
          </a:endParaRPr>
        </a:p>
      </xdr:txBody>
    </xdr:sp>
    <xdr:clientData/>
  </xdr:twoCellAnchor>
  <xdr:twoCellAnchor>
    <xdr:from>
      <xdr:col>12</xdr:col>
      <xdr:colOff>414618</xdr:colOff>
      <xdr:row>15</xdr:row>
      <xdr:rowOff>89652</xdr:rowOff>
    </xdr:from>
    <xdr:to>
      <xdr:col>15</xdr:col>
      <xdr:colOff>571500</xdr:colOff>
      <xdr:row>24</xdr:row>
      <xdr:rowOff>118227</xdr:rowOff>
    </xdr:to>
    <xdr:sp macro="" textlink="">
      <xdr:nvSpPr>
        <xdr:cNvPr id="35" name="Rectangle: Rounded Corners 34">
          <a:hlinkClick xmlns:r="http://schemas.openxmlformats.org/officeDocument/2006/relationships" r:id="rId4"/>
          <a:extLst>
            <a:ext uri="{FF2B5EF4-FFF2-40B4-BE49-F238E27FC236}">
              <a16:creationId xmlns:a16="http://schemas.microsoft.com/office/drawing/2014/main" id="{F97807B0-ABA1-4AE7-8B69-9459B39FEA60}"/>
            </a:ext>
          </a:extLst>
        </xdr:cNvPr>
        <xdr:cNvSpPr/>
      </xdr:nvSpPr>
      <xdr:spPr>
        <a:xfrm>
          <a:off x="7676030" y="2947152"/>
          <a:ext cx="1972235" cy="1743075"/>
        </a:xfrm>
        <a:prstGeom prst="roundRect">
          <a:avLst>
            <a:gd name="adj" fmla="val 9033"/>
          </a:avLst>
        </a:prstGeom>
        <a:solidFill>
          <a:schemeClr val="bg1"/>
        </a:solidFill>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UI_Select</a:t>
          </a:r>
        </a:p>
        <a:p>
          <a:pPr algn="l"/>
          <a:r>
            <a:rPr lang="en-US" sz="1100">
              <a:solidFill>
                <a:sysClr val="windowText" lastClr="000000"/>
              </a:solidFill>
            </a:rPr>
            <a:t>(or blend?)</a:t>
          </a:r>
        </a:p>
        <a:p>
          <a:pPr algn="l"/>
          <a:endParaRPr lang="en-US" sz="1100">
            <a:solidFill>
              <a:sysClr val="windowText" lastClr="000000"/>
            </a:solidFill>
          </a:endParaRPr>
        </a:p>
        <a:p>
          <a:pPr algn="l"/>
          <a:r>
            <a:rPr lang="en-US" sz="1100">
              <a:solidFill>
                <a:sysClr val="windowText" lastClr="000000"/>
              </a:solidFill>
            </a:rPr>
            <a:t>with "healthcheck"</a:t>
          </a:r>
          <a:r>
            <a:rPr lang="en-US" sz="1100" baseline="0">
              <a:solidFill>
                <a:sysClr val="windowText" lastClr="000000"/>
              </a:solidFill>
            </a:rPr>
            <a:t> protection</a:t>
          </a:r>
          <a:endParaRPr lang="en-US" sz="1100">
            <a:solidFill>
              <a:sysClr val="windowText" lastClr="000000"/>
            </a:solidFill>
          </a:endParaRPr>
        </a:p>
        <a:p>
          <a:pPr algn="l"/>
          <a:endParaRPr lang="en-US" sz="1100">
            <a:solidFill>
              <a:sysClr val="windowText" lastClr="000000"/>
            </a:solidFill>
          </a:endParaRPr>
        </a:p>
        <a:p>
          <a:pPr algn="l"/>
          <a:r>
            <a:rPr lang="en-US" sz="1100">
              <a:solidFill>
                <a:sysClr val="windowText" lastClr="000000"/>
              </a:solidFill>
            </a:rPr>
            <a:t>Failsafe to NONE (OFF)</a:t>
          </a:r>
        </a:p>
      </xdr:txBody>
    </xdr:sp>
    <xdr:clientData/>
  </xdr:twoCellAnchor>
  <xdr:twoCellAnchor>
    <xdr:from>
      <xdr:col>3</xdr:col>
      <xdr:colOff>414618</xdr:colOff>
      <xdr:row>10</xdr:row>
      <xdr:rowOff>68081</xdr:rowOff>
    </xdr:from>
    <xdr:to>
      <xdr:col>7</xdr:col>
      <xdr:colOff>496417</xdr:colOff>
      <xdr:row>10</xdr:row>
      <xdr:rowOff>72003</xdr:rowOff>
    </xdr:to>
    <xdr:cxnSp macro="">
      <xdr:nvCxnSpPr>
        <xdr:cNvPr id="50" name="Straight Arrow Connector 49">
          <a:extLst>
            <a:ext uri="{FF2B5EF4-FFF2-40B4-BE49-F238E27FC236}">
              <a16:creationId xmlns:a16="http://schemas.microsoft.com/office/drawing/2014/main" id="{C800E007-7516-4A24-BA4D-4F10915672EA}"/>
            </a:ext>
          </a:extLst>
        </xdr:cNvPr>
        <xdr:cNvCxnSpPr>
          <a:cxnSpLocks/>
          <a:stCxn id="8" idx="3"/>
          <a:endCxn id="31" idx="1"/>
        </xdr:cNvCxnSpPr>
      </xdr:nvCxnSpPr>
      <xdr:spPr>
        <a:xfrm>
          <a:off x="2229971" y="1973081"/>
          <a:ext cx="2502270" cy="392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142875</xdr:colOff>
      <xdr:row>5</xdr:row>
      <xdr:rowOff>39225</xdr:rowOff>
    </xdr:from>
    <xdr:to>
      <xdr:col>3</xdr:col>
      <xdr:colOff>400051</xdr:colOff>
      <xdr:row>6</xdr:row>
      <xdr:rowOff>134475</xdr:rowOff>
    </xdr:to>
    <xdr:sp macro="" textlink="">
      <xdr:nvSpPr>
        <xdr:cNvPr id="81" name="Rectangle: Rounded Corners 80">
          <a:extLst>
            <a:ext uri="{FF2B5EF4-FFF2-40B4-BE49-F238E27FC236}">
              <a16:creationId xmlns:a16="http://schemas.microsoft.com/office/drawing/2014/main" id="{842AAD84-461A-4D14-BF0E-9E210E7C63B6}"/>
            </a:ext>
          </a:extLst>
        </xdr:cNvPr>
        <xdr:cNvSpPr/>
      </xdr:nvSpPr>
      <xdr:spPr>
        <a:xfrm>
          <a:off x="1353110" y="991725"/>
          <a:ext cx="862294" cy="28575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mA_LEFT</a:t>
          </a:r>
        </a:p>
      </xdr:txBody>
    </xdr:sp>
    <xdr:clientData/>
  </xdr:twoCellAnchor>
  <xdr:twoCellAnchor>
    <xdr:from>
      <xdr:col>2</xdr:col>
      <xdr:colOff>142875</xdr:colOff>
      <xdr:row>7</xdr:row>
      <xdr:rowOff>68361</xdr:rowOff>
    </xdr:from>
    <xdr:to>
      <xdr:col>3</xdr:col>
      <xdr:colOff>400051</xdr:colOff>
      <xdr:row>8</xdr:row>
      <xdr:rowOff>163611</xdr:rowOff>
    </xdr:to>
    <xdr:sp macro="" textlink="">
      <xdr:nvSpPr>
        <xdr:cNvPr id="82" name="Rectangle: Rounded Corners 81">
          <a:extLst>
            <a:ext uri="{FF2B5EF4-FFF2-40B4-BE49-F238E27FC236}">
              <a16:creationId xmlns:a16="http://schemas.microsoft.com/office/drawing/2014/main" id="{3574339F-1E1B-4070-B523-048E384B5A9F}"/>
            </a:ext>
          </a:extLst>
        </xdr:cNvPr>
        <xdr:cNvSpPr/>
      </xdr:nvSpPr>
      <xdr:spPr>
        <a:xfrm>
          <a:off x="1353110" y="1401861"/>
          <a:ext cx="862294" cy="28575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mA_RIGHT</a:t>
          </a:r>
        </a:p>
      </xdr:txBody>
    </xdr:sp>
    <xdr:clientData/>
  </xdr:twoCellAnchor>
  <xdr:twoCellAnchor>
    <xdr:from>
      <xdr:col>5</xdr:col>
      <xdr:colOff>373716</xdr:colOff>
      <xdr:row>5</xdr:row>
      <xdr:rowOff>10650</xdr:rowOff>
    </xdr:from>
    <xdr:to>
      <xdr:col>6</xdr:col>
      <xdr:colOff>354666</xdr:colOff>
      <xdr:row>6</xdr:row>
      <xdr:rowOff>143999</xdr:rowOff>
    </xdr:to>
    <xdr:sp macro="" textlink="">
      <xdr:nvSpPr>
        <xdr:cNvPr id="83" name="Rectangle: Rounded Corners 82">
          <a:extLst>
            <a:ext uri="{FF2B5EF4-FFF2-40B4-BE49-F238E27FC236}">
              <a16:creationId xmlns:a16="http://schemas.microsoft.com/office/drawing/2014/main" id="{BD9F2D31-9139-4597-9CE8-0DF9C9A4EFF6}"/>
            </a:ext>
          </a:extLst>
        </xdr:cNvPr>
        <xdr:cNvSpPr/>
      </xdr:nvSpPr>
      <xdr:spPr>
        <a:xfrm>
          <a:off x="3399304" y="963150"/>
          <a:ext cx="586068" cy="323849"/>
        </a:xfrm>
        <a:prstGeom prst="roundRect">
          <a:avLst/>
        </a:prstGeom>
        <a:solidFill>
          <a:schemeClr val="bg1"/>
        </a:solidFill>
        <a:ln w="28575">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Filter</a:t>
          </a:r>
        </a:p>
      </xdr:txBody>
    </xdr:sp>
    <xdr:clientData/>
  </xdr:twoCellAnchor>
  <xdr:twoCellAnchor>
    <xdr:from>
      <xdr:col>5</xdr:col>
      <xdr:colOff>366430</xdr:colOff>
      <xdr:row>7</xdr:row>
      <xdr:rowOff>48191</xdr:rowOff>
    </xdr:from>
    <xdr:to>
      <xdr:col>6</xdr:col>
      <xdr:colOff>347380</xdr:colOff>
      <xdr:row>8</xdr:row>
      <xdr:rowOff>181540</xdr:rowOff>
    </xdr:to>
    <xdr:sp macro="" textlink="">
      <xdr:nvSpPr>
        <xdr:cNvPr id="84" name="Rectangle: Rounded Corners 83">
          <a:extLst>
            <a:ext uri="{FF2B5EF4-FFF2-40B4-BE49-F238E27FC236}">
              <a16:creationId xmlns:a16="http://schemas.microsoft.com/office/drawing/2014/main" id="{6594E2B6-0EAE-4248-8429-23269D54A9EC}"/>
            </a:ext>
          </a:extLst>
        </xdr:cNvPr>
        <xdr:cNvSpPr/>
      </xdr:nvSpPr>
      <xdr:spPr>
        <a:xfrm>
          <a:off x="3392018" y="1381691"/>
          <a:ext cx="586068" cy="323849"/>
        </a:xfrm>
        <a:prstGeom prst="roundRect">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bg2">
                  <a:lumMod val="90000"/>
                </a:schemeClr>
              </a:solidFill>
            </a:rPr>
            <a:t>Filter</a:t>
          </a:r>
        </a:p>
      </xdr:txBody>
    </xdr:sp>
    <xdr:clientData/>
  </xdr:twoCellAnchor>
  <xdr:twoCellAnchor>
    <xdr:from>
      <xdr:col>3</xdr:col>
      <xdr:colOff>400051</xdr:colOff>
      <xdr:row>5</xdr:row>
      <xdr:rowOff>172575</xdr:rowOff>
    </xdr:from>
    <xdr:to>
      <xdr:col>5</xdr:col>
      <xdr:colOff>373716</xdr:colOff>
      <xdr:row>5</xdr:row>
      <xdr:rowOff>182100</xdr:rowOff>
    </xdr:to>
    <xdr:cxnSp macro="">
      <xdr:nvCxnSpPr>
        <xdr:cNvPr id="85" name="Straight Arrow Connector 84">
          <a:extLst>
            <a:ext uri="{FF2B5EF4-FFF2-40B4-BE49-F238E27FC236}">
              <a16:creationId xmlns:a16="http://schemas.microsoft.com/office/drawing/2014/main" id="{D240AEFF-43C0-428C-AAED-31A47A1C54A0}"/>
            </a:ext>
          </a:extLst>
        </xdr:cNvPr>
        <xdr:cNvCxnSpPr>
          <a:cxnSpLocks/>
          <a:stCxn id="81" idx="3"/>
          <a:endCxn id="83" idx="1"/>
        </xdr:cNvCxnSpPr>
      </xdr:nvCxnSpPr>
      <xdr:spPr>
        <a:xfrm flipV="1">
          <a:off x="2215404" y="1125075"/>
          <a:ext cx="11839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400051</xdr:colOff>
      <xdr:row>8</xdr:row>
      <xdr:rowOff>19616</xdr:rowOff>
    </xdr:from>
    <xdr:to>
      <xdr:col>5</xdr:col>
      <xdr:colOff>366430</xdr:colOff>
      <xdr:row>8</xdr:row>
      <xdr:rowOff>20736</xdr:rowOff>
    </xdr:to>
    <xdr:cxnSp macro="">
      <xdr:nvCxnSpPr>
        <xdr:cNvPr id="88" name="Straight Arrow Connector 87">
          <a:extLst>
            <a:ext uri="{FF2B5EF4-FFF2-40B4-BE49-F238E27FC236}">
              <a16:creationId xmlns:a16="http://schemas.microsoft.com/office/drawing/2014/main" id="{57D6BDE7-71D2-425C-B509-E1B929966B30}"/>
            </a:ext>
          </a:extLst>
        </xdr:cNvPr>
        <xdr:cNvCxnSpPr>
          <a:cxnSpLocks/>
          <a:stCxn id="82" idx="3"/>
          <a:endCxn id="84" idx="1"/>
        </xdr:cNvCxnSpPr>
      </xdr:nvCxnSpPr>
      <xdr:spPr>
        <a:xfrm flipV="1">
          <a:off x="2215404" y="1543616"/>
          <a:ext cx="1176614" cy="1120"/>
        </a:xfrm>
        <a:prstGeom prst="straightConnector1">
          <a:avLst/>
        </a:prstGeom>
        <a:ln>
          <a:solidFill>
            <a:schemeClr val="bg1">
              <a:lumMod val="8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556929</xdr:colOff>
      <xdr:row>10</xdr:row>
      <xdr:rowOff>89653</xdr:rowOff>
    </xdr:from>
    <xdr:to>
      <xdr:col>25</xdr:col>
      <xdr:colOff>313763</xdr:colOff>
      <xdr:row>16</xdr:row>
      <xdr:rowOff>127752</xdr:rowOff>
    </xdr:to>
    <xdr:sp macro="" textlink="">
      <xdr:nvSpPr>
        <xdr:cNvPr id="91" name="Rectangle: Rounded Corners 90">
          <a:extLst>
            <a:ext uri="{FF2B5EF4-FFF2-40B4-BE49-F238E27FC236}">
              <a16:creationId xmlns:a16="http://schemas.microsoft.com/office/drawing/2014/main" id="{98AD29A7-33A5-4F66-B237-5D6259D21039}"/>
            </a:ext>
          </a:extLst>
        </xdr:cNvPr>
        <xdr:cNvSpPr/>
      </xdr:nvSpPr>
      <xdr:spPr>
        <a:xfrm>
          <a:off x="13264400" y="1994653"/>
          <a:ext cx="2177304" cy="1181099"/>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DRIVE: ERROR CONTROLLER (PID) </a:t>
          </a:r>
        </a:p>
        <a:p>
          <a:pPr algn="l"/>
          <a:endParaRPr lang="en-US" sz="1100">
            <a:solidFill>
              <a:sysClr val="windowText" lastClr="000000"/>
            </a:solidFill>
          </a:endParaRPr>
        </a:p>
        <a:p>
          <a:pPr algn="l"/>
          <a:r>
            <a:rPr lang="en-US" sz="1100">
              <a:solidFill>
                <a:sysClr val="windowText" lastClr="000000"/>
              </a:solidFill>
            </a:rPr>
            <a:t>with RateLimit Protection</a:t>
          </a:r>
        </a:p>
      </xdr:txBody>
    </xdr:sp>
    <xdr:clientData/>
  </xdr:twoCellAnchor>
  <xdr:twoCellAnchor>
    <xdr:from>
      <xdr:col>18</xdr:col>
      <xdr:colOff>89646</xdr:colOff>
      <xdr:row>17</xdr:row>
      <xdr:rowOff>22412</xdr:rowOff>
    </xdr:from>
    <xdr:to>
      <xdr:col>18</xdr:col>
      <xdr:colOff>572057</xdr:colOff>
      <xdr:row>28</xdr:row>
      <xdr:rowOff>151284</xdr:rowOff>
    </xdr:to>
    <xdr:cxnSp macro="">
      <xdr:nvCxnSpPr>
        <xdr:cNvPr id="96" name="Connector: Elbow 95">
          <a:extLst>
            <a:ext uri="{FF2B5EF4-FFF2-40B4-BE49-F238E27FC236}">
              <a16:creationId xmlns:a16="http://schemas.microsoft.com/office/drawing/2014/main" id="{7ECF1CDE-2F8A-4BAC-89A3-230343ACA329}"/>
            </a:ext>
          </a:extLst>
        </xdr:cNvPr>
        <xdr:cNvCxnSpPr>
          <a:cxnSpLocks/>
          <a:stCxn id="30" idx="3"/>
          <a:endCxn id="102" idx="1"/>
        </xdr:cNvCxnSpPr>
      </xdr:nvCxnSpPr>
      <xdr:spPr>
        <a:xfrm>
          <a:off x="10981764" y="3260912"/>
          <a:ext cx="482411" cy="2224372"/>
        </a:xfrm>
        <a:prstGeom prst="bentConnector3">
          <a:avLst>
            <a:gd name="adj1" fmla="val 50000"/>
          </a:avLst>
        </a:prstGeom>
        <a:ln>
          <a:solidFill>
            <a:schemeClr val="bg1">
              <a:lumMod val="8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526676</xdr:colOff>
      <xdr:row>14</xdr:row>
      <xdr:rowOff>52115</xdr:rowOff>
    </xdr:from>
    <xdr:to>
      <xdr:col>20</xdr:col>
      <xdr:colOff>429750</xdr:colOff>
      <xdr:row>20</xdr:row>
      <xdr:rowOff>4</xdr:rowOff>
    </xdr:to>
    <xdr:sp macro="" textlink="">
      <xdr:nvSpPr>
        <xdr:cNvPr id="100" name="Rectangle: Rounded Corners 99">
          <a:extLst>
            <a:ext uri="{FF2B5EF4-FFF2-40B4-BE49-F238E27FC236}">
              <a16:creationId xmlns:a16="http://schemas.microsoft.com/office/drawing/2014/main" id="{13B1F657-34E8-444A-9D1A-9B56E926C4E1}"/>
            </a:ext>
          </a:extLst>
        </xdr:cNvPr>
        <xdr:cNvSpPr/>
      </xdr:nvSpPr>
      <xdr:spPr>
        <a:xfrm>
          <a:off x="11418794" y="2719115"/>
          <a:ext cx="1113309" cy="1090889"/>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Target Speed LEFT</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effectLst/>
              <a:latin typeface="+mn-lt"/>
              <a:ea typeface="+mn-ea"/>
              <a:cs typeface="+mn-cs"/>
            </a:rPr>
            <a:t>(modified by downrate if applicable)</a:t>
          </a:r>
          <a:endParaRPr lang="en-US">
            <a:solidFill>
              <a:sysClr val="windowText" lastClr="000000"/>
            </a:solidFill>
            <a:effectLst/>
          </a:endParaRPr>
        </a:p>
        <a:p>
          <a:pPr algn="l"/>
          <a:endParaRPr lang="en-US" sz="1100">
            <a:solidFill>
              <a:sysClr val="windowText" lastClr="000000"/>
            </a:solidFill>
          </a:endParaRPr>
        </a:p>
      </xdr:txBody>
    </xdr:sp>
    <xdr:clientData/>
  </xdr:twoCellAnchor>
  <xdr:twoCellAnchor>
    <xdr:from>
      <xdr:col>18</xdr:col>
      <xdr:colOff>572057</xdr:colOff>
      <xdr:row>27</xdr:row>
      <xdr:rowOff>75084</xdr:rowOff>
    </xdr:from>
    <xdr:to>
      <xdr:col>20</xdr:col>
      <xdr:colOff>362509</xdr:colOff>
      <xdr:row>30</xdr:row>
      <xdr:rowOff>36983</xdr:rowOff>
    </xdr:to>
    <xdr:sp macro="" textlink="">
      <xdr:nvSpPr>
        <xdr:cNvPr id="102" name="Rectangle: Rounded Corners 101">
          <a:extLst>
            <a:ext uri="{FF2B5EF4-FFF2-40B4-BE49-F238E27FC236}">
              <a16:creationId xmlns:a16="http://schemas.microsoft.com/office/drawing/2014/main" id="{1E440CAD-37D1-4890-A8FE-748041D50589}"/>
            </a:ext>
          </a:extLst>
        </xdr:cNvPr>
        <xdr:cNvSpPr/>
      </xdr:nvSpPr>
      <xdr:spPr>
        <a:xfrm>
          <a:off x="11464175" y="5218584"/>
          <a:ext cx="1000687" cy="533399"/>
        </a:xfrm>
        <a:prstGeom prst="roundRect">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bg2">
                  <a:lumMod val="90000"/>
                </a:schemeClr>
              </a:solidFill>
            </a:rPr>
            <a:t>Target Speed RIGHT</a:t>
          </a:r>
        </a:p>
      </xdr:txBody>
    </xdr:sp>
    <xdr:clientData/>
  </xdr:twoCellAnchor>
  <xdr:twoCellAnchor>
    <xdr:from>
      <xdr:col>6</xdr:col>
      <xdr:colOff>354666</xdr:colOff>
      <xdr:row>5</xdr:row>
      <xdr:rowOff>172575</xdr:rowOff>
    </xdr:from>
    <xdr:to>
      <xdr:col>23</xdr:col>
      <xdr:colOff>407652</xdr:colOff>
      <xdr:row>7</xdr:row>
      <xdr:rowOff>51552</xdr:rowOff>
    </xdr:to>
    <xdr:cxnSp macro="">
      <xdr:nvCxnSpPr>
        <xdr:cNvPr id="115" name="Connector: Elbow 114">
          <a:extLst>
            <a:ext uri="{FF2B5EF4-FFF2-40B4-BE49-F238E27FC236}">
              <a16:creationId xmlns:a16="http://schemas.microsoft.com/office/drawing/2014/main" id="{9DD8DD3A-924A-4CB1-A116-A374B9016F18}"/>
            </a:ext>
          </a:extLst>
        </xdr:cNvPr>
        <xdr:cNvCxnSpPr>
          <a:stCxn id="83" idx="3"/>
          <a:endCxn id="209" idx="0"/>
        </xdr:cNvCxnSpPr>
      </xdr:nvCxnSpPr>
      <xdr:spPr>
        <a:xfrm>
          <a:off x="3985372" y="1125075"/>
          <a:ext cx="10339986" cy="259977"/>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429750</xdr:colOff>
      <xdr:row>13</xdr:row>
      <xdr:rowOff>148203</xdr:rowOff>
    </xdr:from>
    <xdr:to>
      <xdr:col>21</xdr:col>
      <xdr:colOff>351862</xdr:colOff>
      <xdr:row>17</xdr:row>
      <xdr:rowOff>26060</xdr:rowOff>
    </xdr:to>
    <xdr:cxnSp macro="">
      <xdr:nvCxnSpPr>
        <xdr:cNvPr id="118" name="Straight Arrow Connector 117">
          <a:extLst>
            <a:ext uri="{FF2B5EF4-FFF2-40B4-BE49-F238E27FC236}">
              <a16:creationId xmlns:a16="http://schemas.microsoft.com/office/drawing/2014/main" id="{B1C05923-833F-41A2-8C10-3D4E97F36447}"/>
            </a:ext>
          </a:extLst>
        </xdr:cNvPr>
        <xdr:cNvCxnSpPr>
          <a:stCxn id="100" idx="3"/>
          <a:endCxn id="209" idx="1"/>
        </xdr:cNvCxnSpPr>
      </xdr:nvCxnSpPr>
      <xdr:spPr>
        <a:xfrm flipV="1">
          <a:off x="12532103" y="2624703"/>
          <a:ext cx="527230" cy="63985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362509</xdr:colOff>
      <xdr:row>28</xdr:row>
      <xdr:rowOff>151284</xdr:rowOff>
    </xdr:from>
    <xdr:to>
      <xdr:col>22</xdr:col>
      <xdr:colOff>149545</xdr:colOff>
      <xdr:row>28</xdr:row>
      <xdr:rowOff>160937</xdr:rowOff>
    </xdr:to>
    <xdr:cxnSp macro="">
      <xdr:nvCxnSpPr>
        <xdr:cNvPr id="121" name="Straight Arrow Connector 120">
          <a:extLst>
            <a:ext uri="{FF2B5EF4-FFF2-40B4-BE49-F238E27FC236}">
              <a16:creationId xmlns:a16="http://schemas.microsoft.com/office/drawing/2014/main" id="{90A0E8FE-A186-42D4-A3EF-2362DE9D1803}"/>
            </a:ext>
          </a:extLst>
        </xdr:cNvPr>
        <xdr:cNvCxnSpPr>
          <a:cxnSpLocks/>
          <a:stCxn id="102" idx="3"/>
          <a:endCxn id="229" idx="1"/>
        </xdr:cNvCxnSpPr>
      </xdr:nvCxnSpPr>
      <xdr:spPr>
        <a:xfrm>
          <a:off x="12464862" y="5485284"/>
          <a:ext cx="997271" cy="9653"/>
        </a:xfrm>
        <a:prstGeom prst="straightConnector1">
          <a:avLst/>
        </a:prstGeom>
        <a:ln>
          <a:solidFill>
            <a:schemeClr val="bg1">
              <a:lumMod val="8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566454</xdr:colOff>
      <xdr:row>17</xdr:row>
      <xdr:rowOff>25777</xdr:rowOff>
    </xdr:from>
    <xdr:to>
      <xdr:col>23</xdr:col>
      <xdr:colOff>409012</xdr:colOff>
      <xdr:row>19</xdr:row>
      <xdr:rowOff>121026</xdr:rowOff>
    </xdr:to>
    <xdr:sp macro="" textlink="">
      <xdr:nvSpPr>
        <xdr:cNvPr id="150" name="Rectangle: Rounded Corners 149">
          <a:extLst>
            <a:ext uri="{FF2B5EF4-FFF2-40B4-BE49-F238E27FC236}">
              <a16:creationId xmlns:a16="http://schemas.microsoft.com/office/drawing/2014/main" id="{7D4006EB-0017-49B4-A01C-0CA6F21DC054}"/>
            </a:ext>
          </a:extLst>
        </xdr:cNvPr>
        <xdr:cNvSpPr/>
      </xdr:nvSpPr>
      <xdr:spPr>
        <a:xfrm>
          <a:off x="13273925" y="3264277"/>
          <a:ext cx="1052793" cy="476249"/>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BRAKING: TBD</a:t>
          </a:r>
        </a:p>
      </xdr:txBody>
    </xdr:sp>
    <xdr:clientData/>
  </xdr:twoCellAnchor>
  <xdr:twoCellAnchor>
    <xdr:from>
      <xdr:col>14</xdr:col>
      <xdr:colOff>498103</xdr:colOff>
      <xdr:row>16</xdr:row>
      <xdr:rowOff>48471</xdr:rowOff>
    </xdr:from>
    <xdr:to>
      <xdr:col>15</xdr:col>
      <xdr:colOff>412376</xdr:colOff>
      <xdr:row>17</xdr:row>
      <xdr:rowOff>181820</xdr:rowOff>
    </xdr:to>
    <xdr:sp macro="" textlink="">
      <xdr:nvSpPr>
        <xdr:cNvPr id="189" name="Rectangle: Rounded Corners 188">
          <a:extLst>
            <a:ext uri="{FF2B5EF4-FFF2-40B4-BE49-F238E27FC236}">
              <a16:creationId xmlns:a16="http://schemas.microsoft.com/office/drawing/2014/main" id="{D8965369-EBB6-40E4-A1B6-B4FC12C5DDE7}"/>
            </a:ext>
          </a:extLst>
        </xdr:cNvPr>
        <xdr:cNvSpPr/>
      </xdr:nvSpPr>
      <xdr:spPr>
        <a:xfrm>
          <a:off x="8969750" y="3096471"/>
          <a:ext cx="519391" cy="323849"/>
        </a:xfrm>
        <a:prstGeom prst="roundRect">
          <a:avLst/>
        </a:prstGeom>
        <a:solidFill>
          <a:schemeClr val="bg1"/>
        </a:solidFill>
        <a:ln w="28575">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Filter</a:t>
          </a:r>
        </a:p>
      </xdr:txBody>
    </xdr:sp>
    <xdr:clientData/>
  </xdr:twoCellAnchor>
  <xdr:twoCellAnchor>
    <xdr:from>
      <xdr:col>15</xdr:col>
      <xdr:colOff>412376</xdr:colOff>
      <xdr:row>17</xdr:row>
      <xdr:rowOff>19896</xdr:rowOff>
    </xdr:from>
    <xdr:to>
      <xdr:col>16</xdr:col>
      <xdr:colOff>141753</xdr:colOff>
      <xdr:row>17</xdr:row>
      <xdr:rowOff>22412</xdr:rowOff>
    </xdr:to>
    <xdr:cxnSp macro="">
      <xdr:nvCxnSpPr>
        <xdr:cNvPr id="192" name="Straight Arrow Connector 191">
          <a:extLst>
            <a:ext uri="{FF2B5EF4-FFF2-40B4-BE49-F238E27FC236}">
              <a16:creationId xmlns:a16="http://schemas.microsoft.com/office/drawing/2014/main" id="{83B62BE1-7B3D-4886-A9E4-2875ECF2B09C}"/>
            </a:ext>
          </a:extLst>
        </xdr:cNvPr>
        <xdr:cNvCxnSpPr>
          <a:cxnSpLocks/>
          <a:stCxn id="189" idx="3"/>
          <a:endCxn id="30" idx="1"/>
        </xdr:cNvCxnSpPr>
      </xdr:nvCxnSpPr>
      <xdr:spPr>
        <a:xfrm>
          <a:off x="9489141" y="3258396"/>
          <a:ext cx="334494" cy="251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377126</xdr:colOff>
      <xdr:row>25</xdr:row>
      <xdr:rowOff>81501</xdr:rowOff>
    </xdr:from>
    <xdr:to>
      <xdr:col>25</xdr:col>
      <xdr:colOff>95858</xdr:colOff>
      <xdr:row>31</xdr:row>
      <xdr:rowOff>119600</xdr:rowOff>
    </xdr:to>
    <xdr:sp macro="" textlink="">
      <xdr:nvSpPr>
        <xdr:cNvPr id="227" name="Rectangle: Rounded Corners 226">
          <a:extLst>
            <a:ext uri="{FF2B5EF4-FFF2-40B4-BE49-F238E27FC236}">
              <a16:creationId xmlns:a16="http://schemas.microsoft.com/office/drawing/2014/main" id="{12BECAA1-6500-48A5-A0B8-6782EE7C0A7C}"/>
            </a:ext>
          </a:extLst>
        </xdr:cNvPr>
        <xdr:cNvSpPr/>
      </xdr:nvSpPr>
      <xdr:spPr>
        <a:xfrm>
          <a:off x="13689714" y="4844001"/>
          <a:ext cx="1534085" cy="1181099"/>
        </a:xfrm>
        <a:prstGeom prst="roundRect">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bg2">
                  <a:lumMod val="90000"/>
                </a:schemeClr>
              </a:solidFill>
              <a:latin typeface="+mn-lt"/>
              <a:ea typeface="+mn-ea"/>
              <a:cs typeface="+mn-cs"/>
            </a:rPr>
            <a:t>DRIVE: ERROR CONTROLLER (PID) </a:t>
          </a:r>
        </a:p>
        <a:p>
          <a:pPr marL="0" indent="0" algn="l"/>
          <a:endParaRPr lang="en-US" sz="1100">
            <a:solidFill>
              <a:schemeClr val="bg2">
                <a:lumMod val="90000"/>
              </a:schemeClr>
            </a:solidFill>
            <a:latin typeface="+mn-lt"/>
            <a:ea typeface="+mn-ea"/>
            <a:cs typeface="+mn-cs"/>
          </a:endParaRPr>
        </a:p>
        <a:p>
          <a:pPr marL="0" indent="0" algn="l"/>
          <a:r>
            <a:rPr lang="en-US" sz="1100">
              <a:solidFill>
                <a:schemeClr val="bg2">
                  <a:lumMod val="90000"/>
                </a:schemeClr>
              </a:solidFill>
              <a:latin typeface="+mn-lt"/>
              <a:ea typeface="+mn-ea"/>
              <a:cs typeface="+mn-cs"/>
            </a:rPr>
            <a:t>with RateLimit Protection</a:t>
          </a:r>
        </a:p>
      </xdr:txBody>
    </xdr:sp>
    <xdr:clientData/>
  </xdr:twoCellAnchor>
  <xdr:twoCellAnchor>
    <xdr:from>
      <xdr:col>22</xdr:col>
      <xdr:colOff>438199</xdr:colOff>
      <xdr:row>32</xdr:row>
      <xdr:rowOff>17631</xdr:rowOff>
    </xdr:from>
    <xdr:to>
      <xdr:col>24</xdr:col>
      <xdr:colOff>281773</xdr:colOff>
      <xdr:row>34</xdr:row>
      <xdr:rowOff>112880</xdr:rowOff>
    </xdr:to>
    <xdr:sp macro="" textlink="">
      <xdr:nvSpPr>
        <xdr:cNvPr id="228" name="Rectangle: Rounded Corners 227">
          <a:extLst>
            <a:ext uri="{FF2B5EF4-FFF2-40B4-BE49-F238E27FC236}">
              <a16:creationId xmlns:a16="http://schemas.microsoft.com/office/drawing/2014/main" id="{D8A37FEE-8D27-4ED7-8D3F-E03BAE7495FF}"/>
            </a:ext>
          </a:extLst>
        </xdr:cNvPr>
        <xdr:cNvSpPr/>
      </xdr:nvSpPr>
      <xdr:spPr>
        <a:xfrm>
          <a:off x="13750787" y="6113631"/>
          <a:ext cx="1053810" cy="476249"/>
        </a:xfrm>
        <a:prstGeom prst="roundRect">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bg2">
                  <a:lumMod val="90000"/>
                </a:schemeClr>
              </a:solidFill>
              <a:latin typeface="+mn-lt"/>
              <a:ea typeface="+mn-ea"/>
              <a:cs typeface="+mn-cs"/>
            </a:rPr>
            <a:t>BRAKING: TBD</a:t>
          </a:r>
        </a:p>
      </xdr:txBody>
    </xdr:sp>
    <xdr:clientData/>
  </xdr:twoCellAnchor>
  <xdr:twoCellAnchor>
    <xdr:from>
      <xdr:col>3</xdr:col>
      <xdr:colOff>400051</xdr:colOff>
      <xdr:row>27</xdr:row>
      <xdr:rowOff>19050</xdr:rowOff>
    </xdr:from>
    <xdr:to>
      <xdr:col>8</xdr:col>
      <xdr:colOff>43143</xdr:colOff>
      <xdr:row>29</xdr:row>
      <xdr:rowOff>8128</xdr:rowOff>
    </xdr:to>
    <xdr:cxnSp macro="">
      <xdr:nvCxnSpPr>
        <xdr:cNvPr id="237" name="Connector: Elbow 236">
          <a:extLst>
            <a:ext uri="{FF2B5EF4-FFF2-40B4-BE49-F238E27FC236}">
              <a16:creationId xmlns:a16="http://schemas.microsoft.com/office/drawing/2014/main" id="{1029F45C-74BA-49BD-837D-44BD12AC3097}"/>
            </a:ext>
          </a:extLst>
        </xdr:cNvPr>
        <xdr:cNvCxnSpPr>
          <a:stCxn id="11" idx="3"/>
          <a:endCxn id="18" idx="2"/>
        </xdr:cNvCxnSpPr>
      </xdr:nvCxnSpPr>
      <xdr:spPr>
        <a:xfrm flipV="1">
          <a:off x="2215404" y="5162550"/>
          <a:ext cx="2668680" cy="370078"/>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400051</xdr:colOff>
      <xdr:row>27</xdr:row>
      <xdr:rowOff>19050</xdr:rowOff>
    </xdr:from>
    <xdr:to>
      <xdr:col>8</xdr:col>
      <xdr:colOff>43143</xdr:colOff>
      <xdr:row>32</xdr:row>
      <xdr:rowOff>3366</xdr:rowOff>
    </xdr:to>
    <xdr:cxnSp macro="">
      <xdr:nvCxnSpPr>
        <xdr:cNvPr id="238" name="Connector: Elbow 237">
          <a:extLst>
            <a:ext uri="{FF2B5EF4-FFF2-40B4-BE49-F238E27FC236}">
              <a16:creationId xmlns:a16="http://schemas.microsoft.com/office/drawing/2014/main" id="{4A13C578-7F5D-4221-9F59-D78971B1905B}"/>
            </a:ext>
          </a:extLst>
        </xdr:cNvPr>
        <xdr:cNvCxnSpPr>
          <a:stCxn id="12" idx="3"/>
          <a:endCxn id="18" idx="2"/>
        </xdr:cNvCxnSpPr>
      </xdr:nvCxnSpPr>
      <xdr:spPr>
        <a:xfrm flipV="1">
          <a:off x="2215404" y="5162550"/>
          <a:ext cx="2668680" cy="936816"/>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9524</xdr:colOff>
      <xdr:row>10</xdr:row>
      <xdr:rowOff>72003</xdr:rowOff>
    </xdr:from>
    <xdr:to>
      <xdr:col>19</xdr:col>
      <xdr:colOff>478214</xdr:colOff>
      <xdr:row>14</xdr:row>
      <xdr:rowOff>52115</xdr:rowOff>
    </xdr:to>
    <xdr:cxnSp macro="">
      <xdr:nvCxnSpPr>
        <xdr:cNvPr id="104" name="Connector: Elbow 103">
          <a:extLst>
            <a:ext uri="{FF2B5EF4-FFF2-40B4-BE49-F238E27FC236}">
              <a16:creationId xmlns:a16="http://schemas.microsoft.com/office/drawing/2014/main" id="{DCF8B0EB-AE45-477E-A8EE-5575E63063B7}"/>
            </a:ext>
          </a:extLst>
        </xdr:cNvPr>
        <xdr:cNvCxnSpPr>
          <a:stCxn id="31" idx="3"/>
          <a:endCxn id="100" idx="0"/>
        </xdr:cNvCxnSpPr>
      </xdr:nvCxnSpPr>
      <xdr:spPr>
        <a:xfrm>
          <a:off x="6060700" y="1977003"/>
          <a:ext cx="5914749" cy="742112"/>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89646</xdr:colOff>
      <xdr:row>17</xdr:row>
      <xdr:rowOff>22412</xdr:rowOff>
    </xdr:from>
    <xdr:to>
      <xdr:col>18</xdr:col>
      <xdr:colOff>526676</xdr:colOff>
      <xdr:row>17</xdr:row>
      <xdr:rowOff>26060</xdr:rowOff>
    </xdr:to>
    <xdr:cxnSp macro="">
      <xdr:nvCxnSpPr>
        <xdr:cNvPr id="93" name="Connector: Elbow 92">
          <a:extLst>
            <a:ext uri="{FF2B5EF4-FFF2-40B4-BE49-F238E27FC236}">
              <a16:creationId xmlns:a16="http://schemas.microsoft.com/office/drawing/2014/main" id="{7189FF28-C530-4112-B9F9-C93E9AE658C6}"/>
            </a:ext>
          </a:extLst>
        </xdr:cNvPr>
        <xdr:cNvCxnSpPr>
          <a:cxnSpLocks/>
          <a:stCxn id="30" idx="3"/>
          <a:endCxn id="100" idx="1"/>
        </xdr:cNvCxnSpPr>
      </xdr:nvCxnSpPr>
      <xdr:spPr>
        <a:xfrm>
          <a:off x="10981764" y="3260912"/>
          <a:ext cx="437030" cy="3648"/>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190499</xdr:colOff>
      <xdr:row>22</xdr:row>
      <xdr:rowOff>62477</xdr:rowOff>
    </xdr:from>
    <xdr:to>
      <xdr:col>3</xdr:col>
      <xdr:colOff>523875</xdr:colOff>
      <xdr:row>23</xdr:row>
      <xdr:rowOff>172015</xdr:rowOff>
    </xdr:to>
    <xdr:sp macro="" textlink="">
      <xdr:nvSpPr>
        <xdr:cNvPr id="41" name="Rectangle: Rounded Corners 40">
          <a:extLst>
            <a:ext uri="{FF2B5EF4-FFF2-40B4-BE49-F238E27FC236}">
              <a16:creationId xmlns:a16="http://schemas.microsoft.com/office/drawing/2014/main" id="{CE488D14-4CEC-41E9-A56F-F68F69C58575}"/>
            </a:ext>
          </a:extLst>
        </xdr:cNvPr>
        <xdr:cNvSpPr/>
      </xdr:nvSpPr>
      <xdr:spPr>
        <a:xfrm>
          <a:off x="1400734" y="4253477"/>
          <a:ext cx="938494" cy="300038"/>
        </a:xfrm>
        <a:prstGeom prst="roundRect">
          <a:avLst/>
        </a:prstGeom>
        <a:solidFill>
          <a:schemeClr val="bg1"/>
        </a:solidFill>
        <a:ln>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RF REMOTE</a:t>
          </a:r>
        </a:p>
      </xdr:txBody>
    </xdr:sp>
    <xdr:clientData/>
  </xdr:twoCellAnchor>
  <xdr:twoCellAnchor>
    <xdr:from>
      <xdr:col>2</xdr:col>
      <xdr:colOff>190499</xdr:colOff>
      <xdr:row>24</xdr:row>
      <xdr:rowOff>29140</xdr:rowOff>
    </xdr:from>
    <xdr:to>
      <xdr:col>3</xdr:col>
      <xdr:colOff>542925</xdr:colOff>
      <xdr:row>25</xdr:row>
      <xdr:rowOff>114865</xdr:rowOff>
    </xdr:to>
    <xdr:sp macro="" textlink="">
      <xdr:nvSpPr>
        <xdr:cNvPr id="42" name="Rectangle: Rounded Corners 41">
          <a:extLst>
            <a:ext uri="{FF2B5EF4-FFF2-40B4-BE49-F238E27FC236}">
              <a16:creationId xmlns:a16="http://schemas.microsoft.com/office/drawing/2014/main" id="{B474C13C-3A2A-4A6D-A7EA-3E8D240B6CD1}"/>
            </a:ext>
          </a:extLst>
        </xdr:cNvPr>
        <xdr:cNvSpPr/>
      </xdr:nvSpPr>
      <xdr:spPr>
        <a:xfrm>
          <a:off x="1400734" y="4601140"/>
          <a:ext cx="957544" cy="276225"/>
        </a:xfrm>
        <a:prstGeom prst="roundRect">
          <a:avLst/>
        </a:prstGeom>
        <a:solidFill>
          <a:schemeClr val="bg1"/>
        </a:solidFill>
        <a:ln>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BLUETOOTH</a:t>
          </a:r>
        </a:p>
      </xdr:txBody>
    </xdr:sp>
    <xdr:clientData/>
  </xdr:twoCellAnchor>
  <xdr:twoCellAnchor>
    <xdr:from>
      <xdr:col>11</xdr:col>
      <xdr:colOff>56030</xdr:colOff>
      <xdr:row>20</xdr:row>
      <xdr:rowOff>283</xdr:rowOff>
    </xdr:from>
    <xdr:to>
      <xdr:col>12</xdr:col>
      <xdr:colOff>414618</xdr:colOff>
      <xdr:row>20</xdr:row>
      <xdr:rowOff>8690</xdr:rowOff>
    </xdr:to>
    <xdr:cxnSp macro="">
      <xdr:nvCxnSpPr>
        <xdr:cNvPr id="55" name="Connector: Elbow 54">
          <a:extLst>
            <a:ext uri="{FF2B5EF4-FFF2-40B4-BE49-F238E27FC236}">
              <a16:creationId xmlns:a16="http://schemas.microsoft.com/office/drawing/2014/main" id="{366A2C77-6C7C-47AB-AF09-8D7E69F05EEF}"/>
            </a:ext>
          </a:extLst>
        </xdr:cNvPr>
        <xdr:cNvCxnSpPr>
          <a:stCxn id="18" idx="3"/>
          <a:endCxn id="35" idx="1"/>
        </xdr:cNvCxnSpPr>
      </xdr:nvCxnSpPr>
      <xdr:spPr>
        <a:xfrm>
          <a:off x="6712324" y="3810283"/>
          <a:ext cx="963706" cy="8407"/>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523875</xdr:colOff>
      <xdr:row>23</xdr:row>
      <xdr:rowOff>19050</xdr:rowOff>
    </xdr:from>
    <xdr:to>
      <xdr:col>5</xdr:col>
      <xdr:colOff>28575</xdr:colOff>
      <xdr:row>23</xdr:row>
      <xdr:rowOff>21996</xdr:rowOff>
    </xdr:to>
    <xdr:cxnSp macro="">
      <xdr:nvCxnSpPr>
        <xdr:cNvPr id="16" name="Connector: Elbow 15">
          <a:extLst>
            <a:ext uri="{FF2B5EF4-FFF2-40B4-BE49-F238E27FC236}">
              <a16:creationId xmlns:a16="http://schemas.microsoft.com/office/drawing/2014/main" id="{642181EB-746A-43ED-A6DF-94BC86232B3F}"/>
            </a:ext>
          </a:extLst>
        </xdr:cNvPr>
        <xdr:cNvCxnSpPr>
          <a:stCxn id="41" idx="3"/>
        </xdr:cNvCxnSpPr>
      </xdr:nvCxnSpPr>
      <xdr:spPr>
        <a:xfrm flipV="1">
          <a:off x="2352675" y="4400550"/>
          <a:ext cx="723900" cy="2946"/>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542925</xdr:colOff>
      <xdr:row>24</xdr:row>
      <xdr:rowOff>167253</xdr:rowOff>
    </xdr:from>
    <xdr:to>
      <xdr:col>5</xdr:col>
      <xdr:colOff>38100</xdr:colOff>
      <xdr:row>24</xdr:row>
      <xdr:rowOff>171450</xdr:rowOff>
    </xdr:to>
    <xdr:cxnSp macro="">
      <xdr:nvCxnSpPr>
        <xdr:cNvPr id="24" name="Connector: Elbow 23">
          <a:extLst>
            <a:ext uri="{FF2B5EF4-FFF2-40B4-BE49-F238E27FC236}">
              <a16:creationId xmlns:a16="http://schemas.microsoft.com/office/drawing/2014/main" id="{6559AA7D-1FC1-49F6-933C-5E42A488B2EE}"/>
            </a:ext>
          </a:extLst>
        </xdr:cNvPr>
        <xdr:cNvCxnSpPr>
          <a:stCxn id="42" idx="3"/>
        </xdr:cNvCxnSpPr>
      </xdr:nvCxnSpPr>
      <xdr:spPr>
        <a:xfrm>
          <a:off x="2371725" y="4739253"/>
          <a:ext cx="714375" cy="4197"/>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400051</xdr:colOff>
      <xdr:row>24</xdr:row>
      <xdr:rowOff>118227</xdr:rowOff>
    </xdr:from>
    <xdr:to>
      <xdr:col>14</xdr:col>
      <xdr:colOff>190501</xdr:colOff>
      <xdr:row>34</xdr:row>
      <xdr:rowOff>100018</xdr:rowOff>
    </xdr:to>
    <xdr:cxnSp macro="">
      <xdr:nvCxnSpPr>
        <xdr:cNvPr id="46" name="Connector: Elbow 45">
          <a:extLst>
            <a:ext uri="{FF2B5EF4-FFF2-40B4-BE49-F238E27FC236}">
              <a16:creationId xmlns:a16="http://schemas.microsoft.com/office/drawing/2014/main" id="{760B1137-E20B-4E5B-AF66-982B21DA3AF0}"/>
            </a:ext>
          </a:extLst>
        </xdr:cNvPr>
        <xdr:cNvCxnSpPr>
          <a:stCxn id="10" idx="3"/>
          <a:endCxn id="35" idx="2"/>
        </xdr:cNvCxnSpPr>
      </xdr:nvCxnSpPr>
      <xdr:spPr>
        <a:xfrm flipV="1">
          <a:off x="2215404" y="4690227"/>
          <a:ext cx="6446744" cy="1886791"/>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513789</xdr:colOff>
      <xdr:row>14</xdr:row>
      <xdr:rowOff>133196</xdr:rowOff>
    </xdr:from>
    <xdr:to>
      <xdr:col>24</xdr:col>
      <xdr:colOff>428063</xdr:colOff>
      <xdr:row>16</xdr:row>
      <xdr:rowOff>76045</xdr:rowOff>
    </xdr:to>
    <xdr:sp macro="" textlink="">
      <xdr:nvSpPr>
        <xdr:cNvPr id="29" name="Rectangle: Rounded Corners 28">
          <a:extLst>
            <a:ext uri="{FF2B5EF4-FFF2-40B4-BE49-F238E27FC236}">
              <a16:creationId xmlns:a16="http://schemas.microsoft.com/office/drawing/2014/main" id="{4EC6383E-891B-4E80-94E1-9201C9C17D72}"/>
            </a:ext>
          </a:extLst>
        </xdr:cNvPr>
        <xdr:cNvSpPr/>
      </xdr:nvSpPr>
      <xdr:spPr>
        <a:xfrm>
          <a:off x="14431495" y="2800196"/>
          <a:ext cx="519392" cy="323849"/>
        </a:xfrm>
        <a:prstGeom prst="roundRect">
          <a:avLst/>
        </a:prstGeom>
        <a:solidFill>
          <a:schemeClr val="bg1"/>
        </a:solidFill>
        <a:ln w="28575">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Filter</a:t>
          </a:r>
        </a:p>
      </xdr:txBody>
    </xdr:sp>
    <xdr:clientData/>
  </xdr:twoCellAnchor>
  <xdr:twoCellAnchor>
    <xdr:from>
      <xdr:col>5</xdr:col>
      <xdr:colOff>377080</xdr:colOff>
      <xdr:row>17</xdr:row>
      <xdr:rowOff>56029</xdr:rowOff>
    </xdr:from>
    <xdr:to>
      <xdr:col>6</xdr:col>
      <xdr:colOff>358030</xdr:colOff>
      <xdr:row>18</xdr:row>
      <xdr:rowOff>189378</xdr:rowOff>
    </xdr:to>
    <xdr:sp macro="" textlink="">
      <xdr:nvSpPr>
        <xdr:cNvPr id="19" name="Rectangle: Rounded Corners 18">
          <a:extLst>
            <a:ext uri="{FF2B5EF4-FFF2-40B4-BE49-F238E27FC236}">
              <a16:creationId xmlns:a16="http://schemas.microsoft.com/office/drawing/2014/main" id="{9300D800-D60C-4550-936F-AFA19C9532D5}"/>
            </a:ext>
          </a:extLst>
        </xdr:cNvPr>
        <xdr:cNvSpPr/>
      </xdr:nvSpPr>
      <xdr:spPr>
        <a:xfrm>
          <a:off x="3402668" y="3294529"/>
          <a:ext cx="586068" cy="323849"/>
        </a:xfrm>
        <a:prstGeom prst="roundRect">
          <a:avLst/>
        </a:prstGeom>
        <a:solidFill>
          <a:schemeClr val="bg1"/>
        </a:solidFill>
        <a:ln w="28575">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Filter</a:t>
          </a:r>
        </a:p>
      </xdr:txBody>
    </xdr:sp>
    <xdr:clientData/>
  </xdr:twoCellAnchor>
  <xdr:twoCellAnchor>
    <xdr:from>
      <xdr:col>5</xdr:col>
      <xdr:colOff>369794</xdr:colOff>
      <xdr:row>19</xdr:row>
      <xdr:rowOff>93570</xdr:rowOff>
    </xdr:from>
    <xdr:to>
      <xdr:col>6</xdr:col>
      <xdr:colOff>350744</xdr:colOff>
      <xdr:row>21</xdr:row>
      <xdr:rowOff>36419</xdr:rowOff>
    </xdr:to>
    <xdr:sp macro="" textlink="">
      <xdr:nvSpPr>
        <xdr:cNvPr id="21" name="Rectangle: Rounded Corners 20">
          <a:extLst>
            <a:ext uri="{FF2B5EF4-FFF2-40B4-BE49-F238E27FC236}">
              <a16:creationId xmlns:a16="http://schemas.microsoft.com/office/drawing/2014/main" id="{A2CACCF6-8FB5-4EA2-ADD1-BC1B4E73886B}"/>
            </a:ext>
          </a:extLst>
        </xdr:cNvPr>
        <xdr:cNvSpPr/>
      </xdr:nvSpPr>
      <xdr:spPr>
        <a:xfrm>
          <a:off x="3395382" y="3713070"/>
          <a:ext cx="586068" cy="323849"/>
        </a:xfrm>
        <a:prstGeom prst="roundRect">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bg2">
                  <a:lumMod val="90000"/>
                </a:schemeClr>
              </a:solidFill>
            </a:rPr>
            <a:t>Filter</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68037</xdr:colOff>
      <xdr:row>0</xdr:row>
      <xdr:rowOff>81642</xdr:rowOff>
    </xdr:from>
    <xdr:to>
      <xdr:col>0</xdr:col>
      <xdr:colOff>503465</xdr:colOff>
      <xdr:row>0</xdr:row>
      <xdr:rowOff>489856</xdr:rowOff>
    </xdr:to>
    <xdr:sp macro="" textlink="">
      <xdr:nvSpPr>
        <xdr:cNvPr id="17" name="Arrow: Pentagon 16">
          <a:hlinkClick xmlns:r="http://schemas.openxmlformats.org/officeDocument/2006/relationships" r:id="rId1"/>
          <a:extLst>
            <a:ext uri="{FF2B5EF4-FFF2-40B4-BE49-F238E27FC236}">
              <a16:creationId xmlns:a16="http://schemas.microsoft.com/office/drawing/2014/main" id="{5E407CE1-FFDE-4B33-BDC1-A05E767A475E}"/>
            </a:ext>
          </a:extLst>
        </xdr:cNvPr>
        <xdr:cNvSpPr/>
      </xdr:nvSpPr>
      <xdr:spPr>
        <a:xfrm rot="16200000">
          <a:off x="81644" y="68035"/>
          <a:ext cx="408214" cy="435428"/>
        </a:xfrm>
        <a:prstGeom prst="homePlate">
          <a:avLst/>
        </a:prstGeom>
        <a:effectLst>
          <a:glow rad="63500">
            <a:schemeClr val="accent1">
              <a:satMod val="175000"/>
              <a:alpha val="40000"/>
            </a:schemeClr>
          </a:glo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23</xdr:col>
      <xdr:colOff>228949</xdr:colOff>
      <xdr:row>21</xdr:row>
      <xdr:rowOff>102982</xdr:rowOff>
    </xdr:from>
    <xdr:to>
      <xdr:col>32</xdr:col>
      <xdr:colOff>106191</xdr:colOff>
      <xdr:row>37</xdr:row>
      <xdr:rowOff>70695</xdr:rowOff>
    </xdr:to>
    <xdr:sp macro="" textlink="">
      <xdr:nvSpPr>
        <xdr:cNvPr id="9" name="Rectangle: Rounded Corners 8">
          <a:extLst>
            <a:ext uri="{FF2B5EF4-FFF2-40B4-BE49-F238E27FC236}">
              <a16:creationId xmlns:a16="http://schemas.microsoft.com/office/drawing/2014/main" id="{0CCBB722-B4C4-4FCA-88FA-B0E75F31FB0D}"/>
            </a:ext>
          </a:extLst>
        </xdr:cNvPr>
        <xdr:cNvSpPr/>
      </xdr:nvSpPr>
      <xdr:spPr>
        <a:xfrm>
          <a:off x="18394485" y="3994625"/>
          <a:ext cx="5388135" cy="3015713"/>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Process Wobble Switch with Tether Steering</a:t>
          </a:r>
        </a:p>
        <a:p>
          <a:pPr algn="l"/>
          <a:r>
            <a:rPr lang="en-US" sz="1100" b="1" baseline="0">
              <a:solidFill>
                <a:sysClr val="windowText" lastClr="000000"/>
              </a:solidFill>
            </a:rPr>
            <a:t>ROCH UNIT (ONE-OFF unit to use JoyOcc X&amp;Y inputs for switches)</a:t>
          </a:r>
        </a:p>
        <a:p>
          <a:pPr algn="l"/>
          <a:r>
            <a:rPr lang="en-US" sz="1100" baseline="0">
              <a:solidFill>
                <a:sysClr val="windowText" lastClr="000000"/>
              </a:solidFill>
            </a:rPr>
            <a:t>// "Give Occupant direct ability to create motion, while giving steering ability to parent/guardian. Allow full parental override upon request"</a:t>
          </a:r>
        </a:p>
        <a:p>
          <a:pPr algn="l"/>
          <a:endParaRPr lang="en-US" sz="1100" baseline="0">
            <a:solidFill>
              <a:sysClr val="windowText" lastClr="000000"/>
            </a:solidFill>
          </a:endParaRPr>
        </a:p>
        <a:p>
          <a:pPr algn="l"/>
          <a:r>
            <a:rPr lang="en-US" sz="1100" b="1" baseline="0">
              <a:solidFill>
                <a:sysClr val="windowText" lastClr="000000"/>
              </a:solidFill>
            </a:rPr>
            <a:t>Entry: </a:t>
          </a:r>
        </a:p>
        <a:p>
          <a:pPr algn="l"/>
          <a:r>
            <a:rPr lang="en-US" sz="1100" b="1" baseline="0">
              <a:solidFill>
                <a:sysClr val="windowText" lastClr="000000"/>
              </a:solidFill>
            </a:rPr>
            <a:t>During:</a:t>
          </a:r>
        </a:p>
        <a:p>
          <a:pPr algn="l"/>
          <a:r>
            <a:rPr lang="en-US" sz="1100" baseline="0">
              <a:solidFill>
                <a:sysClr val="windowText" lastClr="000000"/>
              </a:solidFill>
            </a:rPr>
            <a:t>IF Parent Override == true</a:t>
          </a:r>
        </a:p>
        <a:p>
          <a:pPr algn="l"/>
          <a:r>
            <a:rPr lang="en-US" sz="1100" baseline="0">
              <a:solidFill>
                <a:sysClr val="windowText" lastClr="000000"/>
              </a:solidFill>
            </a:rPr>
            <a:t>  THEN Set Occupant Angle &amp; Radius according to Tether</a:t>
          </a:r>
        </a:p>
        <a:p>
          <a:pPr algn="l"/>
          <a:r>
            <a:rPr lang="en-US" sz="1100" baseline="0">
              <a:solidFill>
                <a:sysClr val="windowText" lastClr="000000"/>
              </a:solidFill>
            </a:rPr>
            <a:t>  ELSE Set Occupant Radius according to Occupant but Angle according to Tether</a:t>
          </a:r>
        </a:p>
        <a:p>
          <a:pPr algn="l"/>
          <a:endParaRPr lang="en-US" sz="1100" baseline="0">
            <a:solidFill>
              <a:sysClr val="windowText" lastClr="000000"/>
            </a:solidFill>
          </a:endParaRPr>
        </a:p>
        <a:p>
          <a:pPr algn="l"/>
          <a:r>
            <a:rPr lang="en-US" sz="1100" b="1" baseline="0">
              <a:solidFill>
                <a:sysClr val="windowText" lastClr="000000"/>
              </a:solidFill>
            </a:rPr>
            <a:t>NOTES:</a:t>
          </a:r>
          <a:r>
            <a:rPr lang="en-US" sz="1100" baseline="0">
              <a:solidFill>
                <a:sysClr val="windowText" lastClr="000000"/>
              </a:solidFill>
            </a:rPr>
            <a:t> </a:t>
          </a:r>
        </a:p>
        <a:p>
          <a:pPr algn="l"/>
          <a:r>
            <a:rPr lang="en-US" sz="1100" baseline="0">
              <a:solidFill>
                <a:sysClr val="windowText" lastClr="000000"/>
              </a:solidFill>
            </a:rPr>
            <a:t>Health is based on Tether as exit condition, Bad health from Occupant </a:t>
          </a:r>
          <a:r>
            <a:rPr lang="en-US" sz="1100" b="1" baseline="0">
              <a:solidFill>
                <a:srgbClr val="FF0000"/>
              </a:solidFill>
            </a:rPr>
            <a:t>results in TBD</a:t>
          </a:r>
          <a:r>
            <a:rPr lang="en-US" sz="1100" b="1" baseline="0">
              <a:solidFill>
                <a:sysClr val="windowText" lastClr="000000"/>
              </a:solidFill>
            </a:rPr>
            <a:t> </a:t>
          </a:r>
          <a:r>
            <a:rPr lang="en-US" sz="1100" b="0" baseline="0">
              <a:solidFill>
                <a:sysClr val="windowText" lastClr="000000"/>
              </a:solidFill>
            </a:rPr>
            <a:t>(currently just goes to radius =0).</a:t>
          </a:r>
        </a:p>
        <a:p>
          <a:pPr algn="l"/>
          <a:r>
            <a:rPr lang="en-US" sz="1100" b="0" baseline="0">
              <a:solidFill>
                <a:sysClr val="windowText" lastClr="000000"/>
              </a:solidFill>
            </a:rPr>
            <a:t>Requires Wobble switch wired to OccX and Parent Override wired to OccY</a:t>
          </a:r>
        </a:p>
        <a:p>
          <a:pPr algn="l"/>
          <a:endParaRPr lang="en-US" sz="1100" baseline="0">
            <a:solidFill>
              <a:sysClr val="windowText" lastClr="000000"/>
            </a:solidFill>
          </a:endParaRPr>
        </a:p>
      </xdr:txBody>
    </xdr:sp>
    <xdr:clientData/>
  </xdr:twoCellAnchor>
  <xdr:twoCellAnchor editAs="oneCell">
    <xdr:from>
      <xdr:col>3</xdr:col>
      <xdr:colOff>1464137</xdr:colOff>
      <xdr:row>19</xdr:row>
      <xdr:rowOff>85126</xdr:rowOff>
    </xdr:from>
    <xdr:to>
      <xdr:col>12</xdr:col>
      <xdr:colOff>291021</xdr:colOff>
      <xdr:row>38</xdr:row>
      <xdr:rowOff>50427</xdr:rowOff>
    </xdr:to>
    <xdr:sp macro="" textlink="">
      <xdr:nvSpPr>
        <xdr:cNvPr id="13" name="Rectangle: Rounded Corners 12">
          <a:extLst>
            <a:ext uri="{FF2B5EF4-FFF2-40B4-BE49-F238E27FC236}">
              <a16:creationId xmlns:a16="http://schemas.microsoft.com/office/drawing/2014/main" id="{16A88418-6C14-42AA-87CF-0579EAE6F4E1}"/>
            </a:ext>
          </a:extLst>
        </xdr:cNvPr>
        <xdr:cNvSpPr/>
      </xdr:nvSpPr>
      <xdr:spPr>
        <a:xfrm>
          <a:off x="6278592" y="3583399"/>
          <a:ext cx="5373156" cy="3584801"/>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Single or Double Occupant Button/Switch</a:t>
          </a:r>
        </a:p>
        <a:p>
          <a:pPr algn="l"/>
          <a:r>
            <a:rPr lang="en-US" sz="1100" b="1" baseline="0">
              <a:solidFill>
                <a:sysClr val="windowText" lastClr="000000"/>
              </a:solidFill>
            </a:rPr>
            <a:t>      (Forward or Forward+Backward) + Tether Steering</a:t>
          </a:r>
        </a:p>
        <a:p>
          <a:pPr algn="l"/>
          <a:r>
            <a:rPr lang="en-US" sz="1100" baseline="0">
              <a:solidFill>
                <a:sysClr val="windowText" lastClr="000000"/>
              </a:solidFill>
            </a:rPr>
            <a:t>// "Give Occupant direct ability to create motion AND determine Forard/Backward, while giving steering ability to parent/guardian. Allow full parental override upon request"</a:t>
          </a:r>
        </a:p>
        <a:p>
          <a:pPr algn="l"/>
          <a:endParaRPr lang="en-US" sz="1100" baseline="0">
            <a:solidFill>
              <a:sysClr val="windowText" lastClr="000000"/>
            </a:solidFill>
          </a:endParaRPr>
        </a:p>
        <a:p>
          <a:pPr algn="l"/>
          <a:r>
            <a:rPr lang="en-US" sz="1100" b="1" baseline="0">
              <a:solidFill>
                <a:sysClr val="windowText" lastClr="000000"/>
              </a:solidFill>
            </a:rPr>
            <a:t>Entry: </a:t>
          </a:r>
        </a:p>
        <a:p>
          <a:pPr algn="l"/>
          <a:r>
            <a:rPr lang="en-US" sz="1100" b="1" baseline="0">
              <a:solidFill>
                <a:sysClr val="windowText" lastClr="000000"/>
              </a:solidFill>
            </a:rPr>
            <a:t>During:</a:t>
          </a:r>
        </a:p>
        <a:p>
          <a:pPr algn="l"/>
          <a:r>
            <a:rPr lang="en-US" sz="1100" baseline="0">
              <a:solidFill>
                <a:sysClr val="windowText" lastClr="000000"/>
              </a:solidFill>
            </a:rPr>
            <a:t>IF Parent Override Button</a:t>
          </a:r>
        </a:p>
        <a:p>
          <a:pPr algn="l"/>
          <a:r>
            <a:rPr lang="en-US" sz="1100" baseline="0">
              <a:solidFill>
                <a:sysClr val="windowText" lastClr="000000"/>
              </a:solidFill>
            </a:rPr>
            <a:t>  THEN Occupant X&amp;Y according to Tether (Left/Right but not forward/back)</a:t>
          </a:r>
        </a:p>
        <a:p>
          <a:pPr algn="l"/>
          <a:r>
            <a:rPr lang="en-US" sz="1100" baseline="0">
              <a:solidFill>
                <a:sysClr val="windowText" lastClr="000000"/>
              </a:solidFill>
            </a:rPr>
            <a:t>  ELSE Set Occupant X according to Occupant &amp; Y according to Tether</a:t>
          </a:r>
        </a:p>
        <a:p>
          <a:pPr algn="l"/>
          <a:endParaRPr lang="en-US" sz="1100" baseline="0">
            <a:solidFill>
              <a:sysClr val="windowText" lastClr="000000"/>
            </a:solidFill>
          </a:endParaRPr>
        </a:p>
        <a:p>
          <a:pPr algn="l"/>
          <a:r>
            <a:rPr lang="en-US" sz="1100" b="1" baseline="0">
              <a:solidFill>
                <a:sysClr val="windowText" lastClr="000000"/>
              </a:solidFill>
            </a:rPr>
            <a:t>NOTES:</a:t>
          </a:r>
          <a:r>
            <a:rPr lang="en-US" sz="1100" baseline="0">
              <a:solidFill>
                <a:sysClr val="windowText" lastClr="000000"/>
              </a:solidFill>
            </a:rPr>
            <a:t> </a:t>
          </a:r>
        </a:p>
        <a:p>
          <a:pPr algn="l"/>
          <a:r>
            <a:rPr lang="en-US" sz="1100" baseline="0">
              <a:solidFill>
                <a:sysClr val="windowText" lastClr="000000"/>
              </a:solidFill>
            </a:rPr>
            <a:t>Health is based on Tether as exit condition, Bad health from Occupant </a:t>
          </a:r>
          <a:r>
            <a:rPr lang="en-US" sz="1100" b="1" baseline="0">
              <a:solidFill>
                <a:srgbClr val="FF0000"/>
              </a:solidFill>
            </a:rPr>
            <a:t>results in TBD</a:t>
          </a:r>
          <a:r>
            <a:rPr lang="en-US" sz="1100" b="1" baseline="0">
              <a:solidFill>
                <a:sysClr val="windowText" lastClr="000000"/>
              </a:solidFill>
            </a:rPr>
            <a:t> </a:t>
          </a:r>
          <a:r>
            <a:rPr lang="en-US" sz="1100" b="0" baseline="0">
              <a:solidFill>
                <a:sysClr val="windowText" lastClr="000000"/>
              </a:solidFill>
            </a:rPr>
            <a:t>(currently just goes to radius =0).</a:t>
          </a:r>
        </a:p>
        <a:p>
          <a:pPr algn="l"/>
          <a:r>
            <a:rPr lang="en-US" sz="1100" b="0" baseline="0">
              <a:solidFill>
                <a:sysClr val="windowText" lastClr="000000"/>
              </a:solidFill>
            </a:rPr>
            <a:t>Requires Buttons to be wired as in Figure 2 AND Dedicated Parent Override button</a:t>
          </a:r>
        </a:p>
        <a:p>
          <a:pPr algn="l"/>
          <a:endParaRPr lang="en-US" sz="1100" baseline="0">
            <a:solidFill>
              <a:sysClr val="windowText" lastClr="000000"/>
            </a:solidFill>
          </a:endParaRPr>
        </a:p>
      </xdr:txBody>
    </xdr:sp>
    <xdr:clientData/>
  </xdr:twoCellAnchor>
  <xdr:twoCellAnchor editAs="oneCell">
    <xdr:from>
      <xdr:col>13</xdr:col>
      <xdr:colOff>412583</xdr:colOff>
      <xdr:row>14</xdr:row>
      <xdr:rowOff>67234</xdr:rowOff>
    </xdr:from>
    <xdr:to>
      <xdr:col>22</xdr:col>
      <xdr:colOff>288808</xdr:colOff>
      <xdr:row>34</xdr:row>
      <xdr:rowOff>134470</xdr:rowOff>
    </xdr:to>
    <xdr:sp macro="" textlink="">
      <xdr:nvSpPr>
        <xdr:cNvPr id="15" name="Rectangle: Rounded Corners 14">
          <a:extLst>
            <a:ext uri="{FF2B5EF4-FFF2-40B4-BE49-F238E27FC236}">
              <a16:creationId xmlns:a16="http://schemas.microsoft.com/office/drawing/2014/main" id="{498BE42B-D98C-4C62-9F64-942C93788B2B}"/>
            </a:ext>
          </a:extLst>
        </xdr:cNvPr>
        <xdr:cNvSpPr/>
      </xdr:nvSpPr>
      <xdr:spPr>
        <a:xfrm>
          <a:off x="12379447" y="2613007"/>
          <a:ext cx="5331452" cy="3877236"/>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Process Analog 2-Axis Joystick (convert XY to AR)</a:t>
          </a:r>
        </a:p>
        <a:p>
          <a:pPr algn="l"/>
          <a:r>
            <a:rPr lang="en-US" sz="1100" baseline="0">
              <a:solidFill>
                <a:sysClr val="windowText" lastClr="000000"/>
              </a:solidFill>
            </a:rPr>
            <a:t>// "Convert 2Axis channel (XY) to Angle/Radius (AR) and</a:t>
          </a:r>
        </a:p>
        <a:p>
          <a:pPr algn="l"/>
          <a:r>
            <a:rPr lang="en-US" sz="1100" baseline="0">
              <a:solidFill>
                <a:sysClr val="windowText" lastClr="000000"/>
              </a:solidFill>
            </a:rPr>
            <a:t>Calculate &amp; Report Signal Health"</a:t>
          </a:r>
        </a:p>
        <a:p>
          <a:pPr algn="l"/>
          <a:endParaRPr lang="en-US" sz="1100" baseline="0">
            <a:solidFill>
              <a:sysClr val="windowText" lastClr="000000"/>
            </a:solidFill>
          </a:endParaRPr>
        </a:p>
        <a:p>
          <a:pPr algn="l"/>
          <a:r>
            <a:rPr lang="en-US" sz="1100" b="1" baseline="0">
              <a:solidFill>
                <a:sysClr val="windowText" lastClr="000000"/>
              </a:solidFill>
            </a:rPr>
            <a:t>Entry:</a:t>
          </a:r>
          <a:r>
            <a:rPr lang="en-US" sz="1100" baseline="0">
              <a:solidFill>
                <a:sysClr val="windowText" lastClr="000000"/>
              </a:solidFill>
            </a:rPr>
            <a:t>  Health == 0; Set default Center(s)</a:t>
          </a:r>
        </a:p>
        <a:p>
          <a:pPr algn="l"/>
          <a:r>
            <a:rPr lang="en-US" sz="1100" b="1" baseline="0">
              <a:solidFill>
                <a:sysClr val="windowText" lastClr="000000"/>
              </a:solidFill>
            </a:rPr>
            <a:t>During:</a:t>
          </a:r>
        </a:p>
        <a:p>
          <a:pPr algn="l"/>
          <a:r>
            <a:rPr lang="en-US" sz="1100" baseline="0">
              <a:solidFill>
                <a:sysClr val="windowText" lastClr="000000"/>
              </a:solidFill>
            </a:rPr>
            <a:t>  Determine if out of range (and reduce health)</a:t>
          </a:r>
        </a:p>
        <a:p>
          <a:pPr algn="l"/>
          <a:r>
            <a:rPr lang="en-US" sz="1100" baseline="0">
              <a:solidFill>
                <a:sysClr val="windowText" lastClr="000000"/>
              </a:solidFill>
            </a:rPr>
            <a:t>  Determine if noise (and reduce Health)</a:t>
          </a:r>
        </a:p>
        <a:p>
          <a:pPr algn="l"/>
          <a:r>
            <a:rPr lang="en-US" sz="1100" baseline="0">
              <a:solidFill>
                <a:sysClr val="windowText" lastClr="000000"/>
              </a:solidFill>
            </a:rPr>
            <a:t>  Increment Health if no noise or out of range</a:t>
          </a:r>
        </a:p>
        <a:p>
          <a:pPr algn="l"/>
          <a:r>
            <a:rPr lang="en-US" sz="1100" baseline="0">
              <a:solidFill>
                <a:sysClr val="windowText" lastClr="000000"/>
              </a:solidFill>
            </a:rPr>
            <a:t>  Filter incoming signals</a:t>
          </a:r>
        </a:p>
        <a:p>
          <a:pPr algn="l"/>
          <a:r>
            <a:rPr lang="en-US" sz="1100" baseline="0">
              <a:solidFill>
                <a:sysClr val="windowText" lastClr="000000"/>
              </a:solidFill>
            </a:rPr>
            <a:t>  Calculate "Center" from filtered X&amp;Y when close to center and not moving</a:t>
          </a:r>
        </a:p>
        <a:p>
          <a:pPr algn="l"/>
          <a:r>
            <a:rPr lang="en-US" sz="1100" baseline="0">
              <a:solidFill>
                <a:sysClr val="windowText" lastClr="000000"/>
              </a:solidFill>
            </a:rPr>
            <a:t>  Calculate deltaX&amp;Y relative to Center</a:t>
          </a:r>
        </a:p>
        <a:p>
          <a:pPr algn="l"/>
          <a:r>
            <a:rPr lang="en-US" sz="1100" baseline="0">
              <a:solidFill>
                <a:sysClr val="windowText" lastClr="000000"/>
              </a:solidFill>
            </a:rPr>
            <a:t>  Calc Angle and Radius from deltaX&amp;Y</a:t>
          </a:r>
        </a:p>
        <a:p>
          <a:pPr algn="l"/>
          <a:endParaRPr lang="en-US" sz="1100" b="1" baseline="0">
            <a:solidFill>
              <a:sysClr val="windowText" lastClr="000000"/>
            </a:solidFill>
          </a:endParaRPr>
        </a:p>
        <a:p>
          <a:pPr algn="l"/>
          <a:r>
            <a:rPr lang="en-US" sz="1100" b="1" baseline="0">
              <a:solidFill>
                <a:sysClr val="windowText" lastClr="000000"/>
              </a:solidFill>
            </a:rPr>
            <a:t>NOTES:</a:t>
          </a:r>
          <a:r>
            <a:rPr lang="en-US" sz="1100" baseline="0">
              <a:solidFill>
                <a:sysClr val="windowText" lastClr="000000"/>
              </a:solidFill>
            </a:rPr>
            <a:t> </a:t>
          </a:r>
        </a:p>
        <a:p>
          <a:pPr algn="l"/>
          <a:r>
            <a:rPr lang="en-US" sz="1100" baseline="0">
              <a:solidFill>
                <a:sysClr val="windowText" lastClr="000000"/>
              </a:solidFill>
            </a:rPr>
            <a:t>Do not pass AR if learn hasn't occured (ie learncount&lt;TBD)</a:t>
          </a:r>
        </a:p>
        <a:p>
          <a:pPr algn="l"/>
          <a:r>
            <a:rPr lang="en-US" sz="1100" baseline="0">
              <a:solidFill>
                <a:sysClr val="windowText" lastClr="000000"/>
              </a:solidFill>
            </a:rPr>
            <a:t>Reset learn count to 0  if Health goes bad</a:t>
          </a:r>
        </a:p>
        <a:p>
          <a:pPr algn="l"/>
          <a:r>
            <a:rPr lang="en-US" sz="1100" baseline="0">
              <a:solidFill>
                <a:sysClr val="windowText" lastClr="000000"/>
              </a:solidFill>
            </a:rPr>
            <a:t>STANDARD: X: (-) LEFT (+) RIGHT; Y: (-) REVERSE (+) FORWARD</a:t>
          </a:r>
        </a:p>
        <a:p>
          <a:pPr algn="l"/>
          <a:r>
            <a:rPr lang="en-US" sz="1100" baseline="0">
              <a:solidFill>
                <a:sysClr val="windowText" lastClr="000000"/>
              </a:solidFill>
            </a:rPr>
            <a:t>1, 2, 3 and 4 Switch configurations can also use this input processing method if configured in resistive ladder shown in Figure 2</a:t>
          </a:r>
        </a:p>
      </xdr:txBody>
    </xdr:sp>
    <xdr:clientData/>
  </xdr:twoCellAnchor>
  <xdr:twoCellAnchor>
    <xdr:from>
      <xdr:col>1</xdr:col>
      <xdr:colOff>17929</xdr:colOff>
      <xdr:row>34</xdr:row>
      <xdr:rowOff>172411</xdr:rowOff>
    </xdr:from>
    <xdr:to>
      <xdr:col>3</xdr:col>
      <xdr:colOff>1127820</xdr:colOff>
      <xdr:row>55</xdr:row>
      <xdr:rowOff>49147</xdr:rowOff>
    </xdr:to>
    <xdr:grpSp>
      <xdr:nvGrpSpPr>
        <xdr:cNvPr id="20" name="Group 19">
          <a:extLst>
            <a:ext uri="{FF2B5EF4-FFF2-40B4-BE49-F238E27FC236}">
              <a16:creationId xmlns:a16="http://schemas.microsoft.com/office/drawing/2014/main" id="{EDAE5BF7-BA8D-3B04-883D-3EFE16E591B9}"/>
            </a:ext>
          </a:extLst>
        </xdr:cNvPr>
        <xdr:cNvGrpSpPr/>
      </xdr:nvGrpSpPr>
      <xdr:grpSpPr>
        <a:xfrm>
          <a:off x="630250" y="7125661"/>
          <a:ext cx="5328106" cy="3877236"/>
          <a:chOff x="914400" y="7615518"/>
          <a:chExt cx="5323302" cy="3877236"/>
        </a:xfrm>
      </xdr:grpSpPr>
      <xdr:sp macro="" textlink="">
        <xdr:nvSpPr>
          <xdr:cNvPr id="17" name="Rectangle: Rounded Corners 16">
            <a:extLst>
              <a:ext uri="{FF2B5EF4-FFF2-40B4-BE49-F238E27FC236}">
                <a16:creationId xmlns:a16="http://schemas.microsoft.com/office/drawing/2014/main" id="{441D3E4E-9E15-4B40-ADE2-B713DEEDD232}"/>
              </a:ext>
            </a:extLst>
          </xdr:cNvPr>
          <xdr:cNvSpPr/>
        </xdr:nvSpPr>
        <xdr:spPr>
          <a:xfrm>
            <a:off x="914400" y="7615518"/>
            <a:ext cx="5323302" cy="3877236"/>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FIGURE 2: Button Configuration</a:t>
            </a:r>
          </a:p>
          <a:p>
            <a:pPr algn="l"/>
            <a:r>
              <a:rPr lang="en-US" sz="1100" b="0" baseline="0">
                <a:solidFill>
                  <a:sysClr val="windowText" lastClr="000000"/>
                </a:solidFill>
              </a:rPr>
              <a:t>Any button may be use in any combination as long as all resistors are placed</a:t>
            </a:r>
          </a:p>
          <a:p>
            <a:pPr algn="l"/>
            <a:r>
              <a:rPr lang="en-US" sz="1100" b="0" baseline="0">
                <a:solidFill>
                  <a:sysClr val="windowText" lastClr="000000"/>
                </a:solidFill>
              </a:rPr>
              <a:t>(ex. ALL (as shown), Forward Only, Forward &amp; Back Only, Forward, Left &amp; Right Only)</a:t>
            </a:r>
          </a:p>
        </xdr:txBody>
      </xdr:sp>
      <xdr:pic>
        <xdr:nvPicPr>
          <xdr:cNvPr id="16" name="Picture 15">
            <a:extLst>
              <a:ext uri="{FF2B5EF4-FFF2-40B4-BE49-F238E27FC236}">
                <a16:creationId xmlns:a16="http://schemas.microsoft.com/office/drawing/2014/main" id="{C493B19E-088A-F09A-8DD8-B7C69D18606E}"/>
              </a:ext>
            </a:extLst>
          </xdr:cNvPr>
          <xdr:cNvPicPr>
            <a:picLocks noChangeAspect="1"/>
          </xdr:cNvPicPr>
        </xdr:nvPicPr>
        <xdr:blipFill>
          <a:blip xmlns:r="http://schemas.openxmlformats.org/officeDocument/2006/relationships" r:embed="rId1"/>
          <a:stretch>
            <a:fillRect/>
          </a:stretch>
        </xdr:blipFill>
        <xdr:spPr>
          <a:xfrm>
            <a:off x="1086970" y="8415621"/>
            <a:ext cx="5009524" cy="2971429"/>
          </a:xfrm>
          <a:prstGeom prst="rect">
            <a:avLst/>
          </a:prstGeom>
        </xdr:spPr>
      </xdr:pic>
    </xdr:grpSp>
    <xdr:clientData/>
  </xdr:twoCellAnchor>
  <xdr:twoCellAnchor>
    <xdr:from>
      <xdr:col>1</xdr:col>
      <xdr:colOff>0</xdr:colOff>
      <xdr:row>13</xdr:row>
      <xdr:rowOff>176893</xdr:rowOff>
    </xdr:from>
    <xdr:to>
      <xdr:col>3</xdr:col>
      <xdr:colOff>1109891</xdr:colOff>
      <xdr:row>34</xdr:row>
      <xdr:rowOff>53629</xdr:rowOff>
    </xdr:to>
    <xdr:grpSp>
      <xdr:nvGrpSpPr>
        <xdr:cNvPr id="21" name="Group 20">
          <a:extLst>
            <a:ext uri="{FF2B5EF4-FFF2-40B4-BE49-F238E27FC236}">
              <a16:creationId xmlns:a16="http://schemas.microsoft.com/office/drawing/2014/main" id="{E71F4726-D999-8FD8-4198-01093A51A427}"/>
            </a:ext>
          </a:extLst>
        </xdr:cNvPr>
        <xdr:cNvGrpSpPr/>
      </xdr:nvGrpSpPr>
      <xdr:grpSpPr>
        <a:xfrm>
          <a:off x="612321" y="3129643"/>
          <a:ext cx="5328106" cy="3877236"/>
          <a:chOff x="605118" y="3697941"/>
          <a:chExt cx="5323302" cy="3877236"/>
        </a:xfrm>
      </xdr:grpSpPr>
      <xdr:sp macro="" textlink="">
        <xdr:nvSpPr>
          <xdr:cNvPr id="18" name="Rectangle: Rounded Corners 17">
            <a:extLst>
              <a:ext uri="{FF2B5EF4-FFF2-40B4-BE49-F238E27FC236}">
                <a16:creationId xmlns:a16="http://schemas.microsoft.com/office/drawing/2014/main" id="{120975CE-C283-49EF-854E-F152A677A511}"/>
              </a:ext>
            </a:extLst>
          </xdr:cNvPr>
          <xdr:cNvSpPr/>
        </xdr:nvSpPr>
        <xdr:spPr>
          <a:xfrm>
            <a:off x="605118" y="3697941"/>
            <a:ext cx="5323302" cy="3877236"/>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FIGURE 1: XY Joystick Configuration</a:t>
            </a:r>
            <a:endParaRPr lang="en-US" sz="1100" baseline="0">
              <a:solidFill>
                <a:sysClr val="windowText" lastClr="000000"/>
              </a:solidFill>
            </a:endParaRPr>
          </a:p>
        </xdr:txBody>
      </xdr:sp>
      <xdr:pic>
        <xdr:nvPicPr>
          <xdr:cNvPr id="19" name="Picture 18">
            <a:extLst>
              <a:ext uri="{FF2B5EF4-FFF2-40B4-BE49-F238E27FC236}">
                <a16:creationId xmlns:a16="http://schemas.microsoft.com/office/drawing/2014/main" id="{82E930AB-DAC1-87A7-8BCE-FA3E45B45E17}"/>
              </a:ext>
            </a:extLst>
          </xdr:cNvPr>
          <xdr:cNvPicPr>
            <a:picLocks noChangeAspect="1"/>
          </xdr:cNvPicPr>
        </xdr:nvPicPr>
        <xdr:blipFill>
          <a:blip xmlns:r="http://schemas.openxmlformats.org/officeDocument/2006/relationships" r:embed="rId2"/>
          <a:stretch>
            <a:fillRect/>
          </a:stretch>
        </xdr:blipFill>
        <xdr:spPr>
          <a:xfrm>
            <a:off x="1299884" y="4459944"/>
            <a:ext cx="4270756" cy="3066595"/>
          </a:xfrm>
          <a:prstGeom prst="rect">
            <a:avLst/>
          </a:prstGeom>
        </xdr:spPr>
      </xdr:pic>
    </xdr:grpSp>
    <xdr:clientData/>
  </xdr:twoCellAnchor>
  <xdr:twoCellAnchor>
    <xdr:from>
      <xdr:col>12</xdr:col>
      <xdr:colOff>291021</xdr:colOff>
      <xdr:row>24</xdr:row>
      <xdr:rowOff>100852</xdr:rowOff>
    </xdr:from>
    <xdr:to>
      <xdr:col>13</xdr:col>
      <xdr:colOff>412583</xdr:colOff>
      <xdr:row>28</xdr:row>
      <xdr:rowOff>163027</xdr:rowOff>
    </xdr:to>
    <xdr:cxnSp macro="">
      <xdr:nvCxnSpPr>
        <xdr:cNvPr id="25" name="Connector: Elbow 24">
          <a:extLst>
            <a:ext uri="{FF2B5EF4-FFF2-40B4-BE49-F238E27FC236}">
              <a16:creationId xmlns:a16="http://schemas.microsoft.com/office/drawing/2014/main" id="{D35E6DB6-3D93-4F5C-97E0-3496E098A116}"/>
            </a:ext>
          </a:extLst>
        </xdr:cNvPr>
        <xdr:cNvCxnSpPr>
          <a:cxnSpLocks/>
          <a:stCxn id="13" idx="3"/>
          <a:endCxn id="15" idx="1"/>
        </xdr:cNvCxnSpPr>
      </xdr:nvCxnSpPr>
      <xdr:spPr>
        <a:xfrm flipV="1">
          <a:off x="11651748" y="4551625"/>
          <a:ext cx="727699" cy="824175"/>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1458749</xdr:colOff>
      <xdr:row>13</xdr:row>
      <xdr:rowOff>110475</xdr:rowOff>
    </xdr:from>
    <xdr:to>
      <xdr:col>12</xdr:col>
      <xdr:colOff>244947</xdr:colOff>
      <xdr:row>17</xdr:row>
      <xdr:rowOff>134471</xdr:rowOff>
    </xdr:to>
    <xdr:sp macro="" textlink="">
      <xdr:nvSpPr>
        <xdr:cNvPr id="32" name="Rectangle: Rounded Corners 31">
          <a:extLst>
            <a:ext uri="{FF2B5EF4-FFF2-40B4-BE49-F238E27FC236}">
              <a16:creationId xmlns:a16="http://schemas.microsoft.com/office/drawing/2014/main" id="{2DD11F12-34BE-4AAB-AA4A-C5505927B6CD}"/>
            </a:ext>
          </a:extLst>
        </xdr:cNvPr>
        <xdr:cNvSpPr/>
      </xdr:nvSpPr>
      <xdr:spPr>
        <a:xfrm>
          <a:off x="6273204" y="2465748"/>
          <a:ext cx="5332470" cy="785996"/>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No Special Case</a:t>
          </a:r>
          <a:endParaRPr lang="en-US" sz="1100" baseline="0">
            <a:solidFill>
              <a:sysClr val="windowText" lastClr="000000"/>
            </a:solidFill>
          </a:endParaRPr>
        </a:p>
      </xdr:txBody>
    </xdr:sp>
    <xdr:clientData/>
  </xdr:twoCellAnchor>
  <xdr:twoCellAnchor>
    <xdr:from>
      <xdr:col>12</xdr:col>
      <xdr:colOff>244947</xdr:colOff>
      <xdr:row>15</xdr:row>
      <xdr:rowOff>122473</xdr:rowOff>
    </xdr:from>
    <xdr:to>
      <xdr:col>13</xdr:col>
      <xdr:colOff>412583</xdr:colOff>
      <xdr:row>24</xdr:row>
      <xdr:rowOff>100852</xdr:rowOff>
    </xdr:to>
    <xdr:cxnSp macro="">
      <xdr:nvCxnSpPr>
        <xdr:cNvPr id="33" name="Connector: Elbow 32">
          <a:extLst>
            <a:ext uri="{FF2B5EF4-FFF2-40B4-BE49-F238E27FC236}">
              <a16:creationId xmlns:a16="http://schemas.microsoft.com/office/drawing/2014/main" id="{8E5D903D-BF65-4198-937A-9B4A5E227A76}"/>
            </a:ext>
          </a:extLst>
        </xdr:cNvPr>
        <xdr:cNvCxnSpPr>
          <a:cxnSpLocks/>
          <a:stCxn id="32" idx="3"/>
          <a:endCxn id="15" idx="1"/>
        </xdr:cNvCxnSpPr>
      </xdr:nvCxnSpPr>
      <xdr:spPr>
        <a:xfrm>
          <a:off x="11605674" y="2858746"/>
          <a:ext cx="773773" cy="1692879"/>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288808</xdr:colOff>
      <xdr:row>24</xdr:row>
      <xdr:rowOff>100852</xdr:rowOff>
    </xdr:from>
    <xdr:to>
      <xdr:col>23</xdr:col>
      <xdr:colOff>228949</xdr:colOff>
      <xdr:row>29</xdr:row>
      <xdr:rowOff>86839</xdr:rowOff>
    </xdr:to>
    <xdr:cxnSp macro="">
      <xdr:nvCxnSpPr>
        <xdr:cNvPr id="38" name="Connector: Elbow 37">
          <a:extLst>
            <a:ext uri="{FF2B5EF4-FFF2-40B4-BE49-F238E27FC236}">
              <a16:creationId xmlns:a16="http://schemas.microsoft.com/office/drawing/2014/main" id="{6CC0F074-8DA9-4D78-B0B8-806D24D8350C}"/>
            </a:ext>
          </a:extLst>
        </xdr:cNvPr>
        <xdr:cNvCxnSpPr>
          <a:cxnSpLocks/>
          <a:stCxn id="15" idx="3"/>
          <a:endCxn id="9" idx="1"/>
        </xdr:cNvCxnSpPr>
      </xdr:nvCxnSpPr>
      <xdr:spPr>
        <a:xfrm>
          <a:off x="17842022" y="4563995"/>
          <a:ext cx="552463" cy="938487"/>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218366</xdr:colOff>
      <xdr:row>14</xdr:row>
      <xdr:rowOff>140804</xdr:rowOff>
    </xdr:from>
    <xdr:to>
      <xdr:col>32</xdr:col>
      <xdr:colOff>95608</xdr:colOff>
      <xdr:row>18</xdr:row>
      <xdr:rowOff>164800</xdr:rowOff>
    </xdr:to>
    <xdr:sp macro="" textlink="">
      <xdr:nvSpPr>
        <xdr:cNvPr id="42" name="Rectangle: Rounded Corners 41">
          <a:extLst>
            <a:ext uri="{FF2B5EF4-FFF2-40B4-BE49-F238E27FC236}">
              <a16:creationId xmlns:a16="http://schemas.microsoft.com/office/drawing/2014/main" id="{F70C4692-1573-4A43-B1AB-0497B18B06FC}"/>
            </a:ext>
          </a:extLst>
        </xdr:cNvPr>
        <xdr:cNvSpPr/>
      </xdr:nvSpPr>
      <xdr:spPr>
        <a:xfrm>
          <a:off x="18246593" y="2686577"/>
          <a:ext cx="5332470" cy="785996"/>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No Special Case</a:t>
          </a:r>
          <a:endParaRPr lang="en-US" sz="1100" baseline="0">
            <a:solidFill>
              <a:sysClr val="windowText" lastClr="000000"/>
            </a:solidFill>
          </a:endParaRPr>
        </a:p>
      </xdr:txBody>
    </xdr:sp>
    <xdr:clientData/>
  </xdr:twoCellAnchor>
  <xdr:twoCellAnchor>
    <xdr:from>
      <xdr:col>22</xdr:col>
      <xdr:colOff>288808</xdr:colOff>
      <xdr:row>16</xdr:row>
      <xdr:rowOff>152802</xdr:rowOff>
    </xdr:from>
    <xdr:to>
      <xdr:col>23</xdr:col>
      <xdr:colOff>218366</xdr:colOff>
      <xdr:row>24</xdr:row>
      <xdr:rowOff>100852</xdr:rowOff>
    </xdr:to>
    <xdr:cxnSp macro="">
      <xdr:nvCxnSpPr>
        <xdr:cNvPr id="43" name="Connector: Elbow 42">
          <a:extLst>
            <a:ext uri="{FF2B5EF4-FFF2-40B4-BE49-F238E27FC236}">
              <a16:creationId xmlns:a16="http://schemas.microsoft.com/office/drawing/2014/main" id="{BEA6FA61-F9CD-4F67-8B2C-888CCB7291E8}"/>
            </a:ext>
          </a:extLst>
        </xdr:cNvPr>
        <xdr:cNvCxnSpPr>
          <a:cxnSpLocks/>
          <a:stCxn id="15" idx="3"/>
          <a:endCxn id="42" idx="1"/>
        </xdr:cNvCxnSpPr>
      </xdr:nvCxnSpPr>
      <xdr:spPr>
        <a:xfrm flipV="1">
          <a:off x="17710899" y="3079575"/>
          <a:ext cx="535694" cy="1472050"/>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68037</xdr:colOff>
      <xdr:row>0</xdr:row>
      <xdr:rowOff>81642</xdr:rowOff>
    </xdr:from>
    <xdr:to>
      <xdr:col>0</xdr:col>
      <xdr:colOff>503465</xdr:colOff>
      <xdr:row>0</xdr:row>
      <xdr:rowOff>489856</xdr:rowOff>
    </xdr:to>
    <xdr:sp macro="" textlink="">
      <xdr:nvSpPr>
        <xdr:cNvPr id="2" name="Arrow: Pentagon 1">
          <a:hlinkClick xmlns:r="http://schemas.openxmlformats.org/officeDocument/2006/relationships" r:id="rId3"/>
          <a:extLst>
            <a:ext uri="{FF2B5EF4-FFF2-40B4-BE49-F238E27FC236}">
              <a16:creationId xmlns:a16="http://schemas.microsoft.com/office/drawing/2014/main" id="{60817745-7FF7-7880-046D-BA3690185E8D}"/>
            </a:ext>
          </a:extLst>
        </xdr:cNvPr>
        <xdr:cNvSpPr/>
      </xdr:nvSpPr>
      <xdr:spPr>
        <a:xfrm rot="16200000">
          <a:off x="81644" y="68035"/>
          <a:ext cx="408214" cy="435428"/>
        </a:xfrm>
        <a:prstGeom prst="homePlate">
          <a:avLst/>
        </a:prstGeom>
        <a:effectLst>
          <a:glow rad="63500">
            <a:schemeClr val="accent1">
              <a:satMod val="175000"/>
              <a:alpha val="40000"/>
            </a:schemeClr>
          </a:glo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11201</xdr:colOff>
      <xdr:row>5</xdr:row>
      <xdr:rowOff>38100</xdr:rowOff>
    </xdr:from>
    <xdr:to>
      <xdr:col>14</xdr:col>
      <xdr:colOff>473443</xdr:colOff>
      <xdr:row>15</xdr:row>
      <xdr:rowOff>47625</xdr:rowOff>
    </xdr:to>
    <xdr:sp macro="" textlink="">
      <xdr:nvSpPr>
        <xdr:cNvPr id="2" name="Rectangle: Rounded Corners 1">
          <a:extLst>
            <a:ext uri="{FF2B5EF4-FFF2-40B4-BE49-F238E27FC236}">
              <a16:creationId xmlns:a16="http://schemas.microsoft.com/office/drawing/2014/main" id="{C1E36306-1D64-4524-9FDD-F07C95EA4582}"/>
            </a:ext>
          </a:extLst>
        </xdr:cNvPr>
        <xdr:cNvSpPr/>
      </xdr:nvSpPr>
      <xdr:spPr>
        <a:xfrm>
          <a:off x="10202951" y="800100"/>
          <a:ext cx="2900642" cy="1914525"/>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OFF</a:t>
          </a:r>
        </a:p>
        <a:p>
          <a:pPr algn="l"/>
          <a:r>
            <a:rPr lang="en-US" sz="1100" baseline="0">
              <a:solidFill>
                <a:sysClr val="windowText" lastClr="000000"/>
              </a:solidFill>
            </a:rPr>
            <a:t>// "Shut down all movement"</a:t>
          </a:r>
        </a:p>
        <a:p>
          <a:pPr algn="l"/>
          <a:r>
            <a:rPr lang="en-US" sz="1100" baseline="0">
              <a:solidFill>
                <a:sysClr val="windowText" lastClr="000000"/>
              </a:solidFill>
            </a:rPr>
            <a:t>Entry: </a:t>
          </a:r>
        </a:p>
        <a:p>
          <a:pPr algn="l"/>
          <a:r>
            <a:rPr lang="en-US" sz="1100" baseline="0">
              <a:solidFill>
                <a:sysClr val="windowText" lastClr="000000"/>
              </a:solidFill>
            </a:rPr>
            <a:t>Smoothly and quickly ramp radius down to 0</a:t>
          </a:r>
        </a:p>
        <a:p>
          <a:pPr algn="l"/>
          <a:endParaRPr lang="en-US" sz="1100" baseline="0">
            <a:solidFill>
              <a:sysClr val="windowText" lastClr="000000"/>
            </a:solidFill>
          </a:endParaRPr>
        </a:p>
        <a:p>
          <a:pPr algn="l"/>
          <a:r>
            <a:rPr lang="en-US" sz="1100" baseline="0">
              <a:solidFill>
                <a:sysClr val="windowText" lastClr="000000"/>
              </a:solidFill>
            </a:rPr>
            <a:t>During: monitor status of requested UImode</a:t>
          </a:r>
          <a:endParaRPr lang="en-US" sz="1100">
            <a:solidFill>
              <a:sysClr val="windowText" lastClr="000000"/>
            </a:solidFill>
          </a:endParaRPr>
        </a:p>
      </xdr:txBody>
    </xdr:sp>
    <xdr:clientData/>
  </xdr:twoCellAnchor>
  <xdr:twoCellAnchor editAs="oneCell">
    <xdr:from>
      <xdr:col>10</xdr:col>
      <xdr:colOff>552444</xdr:colOff>
      <xdr:row>2</xdr:row>
      <xdr:rowOff>392766</xdr:rowOff>
    </xdr:from>
    <xdr:to>
      <xdr:col>12</xdr:col>
      <xdr:colOff>137826</xdr:colOff>
      <xdr:row>7</xdr:row>
      <xdr:rowOff>93569</xdr:rowOff>
    </xdr:to>
    <xdr:sp macro="" textlink="">
      <xdr:nvSpPr>
        <xdr:cNvPr id="3" name="Arc 2">
          <a:extLst>
            <a:ext uri="{FF2B5EF4-FFF2-40B4-BE49-F238E27FC236}">
              <a16:creationId xmlns:a16="http://schemas.microsoft.com/office/drawing/2014/main" id="{73299538-80F3-4D18-80E2-6D2EB7B7C3D3}"/>
            </a:ext>
          </a:extLst>
        </xdr:cNvPr>
        <xdr:cNvSpPr/>
      </xdr:nvSpPr>
      <xdr:spPr>
        <a:xfrm>
          <a:off x="10704973" y="661707"/>
          <a:ext cx="795618" cy="933450"/>
        </a:xfrm>
        <a:prstGeom prst="arc">
          <a:avLst>
            <a:gd name="adj1" fmla="val 16200000"/>
            <a:gd name="adj2" fmla="val 68746"/>
          </a:avLst>
        </a:prstGeom>
        <a:ln>
          <a:headEnd type="oval"/>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solidFill>
              <a:sysClr val="windowText" lastClr="000000"/>
            </a:solidFill>
          </a:endParaRPr>
        </a:p>
      </xdr:txBody>
    </xdr:sp>
    <xdr:clientData/>
  </xdr:twoCellAnchor>
  <xdr:twoCellAnchor editAs="oneCell">
    <xdr:from>
      <xdr:col>8</xdr:col>
      <xdr:colOff>411251</xdr:colOff>
      <xdr:row>19</xdr:row>
      <xdr:rowOff>57708</xdr:rowOff>
    </xdr:from>
    <xdr:to>
      <xdr:col>15</xdr:col>
      <xdr:colOff>515471</xdr:colOff>
      <xdr:row>25</xdr:row>
      <xdr:rowOff>100854</xdr:rowOff>
    </xdr:to>
    <xdr:sp macro="" textlink="">
      <xdr:nvSpPr>
        <xdr:cNvPr id="4" name="Rectangle: Rounded Corners 3">
          <a:extLst>
            <a:ext uri="{FF2B5EF4-FFF2-40B4-BE49-F238E27FC236}">
              <a16:creationId xmlns:a16="http://schemas.microsoft.com/office/drawing/2014/main" id="{629BEC35-49DE-4BB9-81E5-27F05554B3D8}"/>
            </a:ext>
          </a:extLst>
        </xdr:cNvPr>
        <xdr:cNvSpPr/>
      </xdr:nvSpPr>
      <xdr:spPr>
        <a:xfrm>
          <a:off x="9353545" y="3845296"/>
          <a:ext cx="4340044" cy="1186146"/>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0 (Occupant)</a:t>
          </a:r>
        </a:p>
        <a:p>
          <a:pPr algn="l"/>
          <a:r>
            <a:rPr lang="en-US" sz="1100" baseline="0">
              <a:solidFill>
                <a:sysClr val="windowText" lastClr="000000"/>
              </a:solidFill>
            </a:rPr>
            <a:t>// "send Angle &amp; Radius"</a:t>
          </a:r>
        </a:p>
        <a:p>
          <a:pPr algn="l"/>
          <a:r>
            <a:rPr lang="en-US" sz="1100" baseline="0">
              <a:solidFill>
                <a:sysClr val="windowText" lastClr="000000"/>
              </a:solidFill>
            </a:rPr>
            <a:t>Entry: set connection to requested input mode</a:t>
          </a:r>
        </a:p>
        <a:p>
          <a:pPr algn="l"/>
          <a:r>
            <a:rPr lang="en-US" sz="1100" baseline="0">
              <a:solidFill>
                <a:sysClr val="windowText" lastClr="000000"/>
              </a:solidFill>
            </a:rPr>
            <a:t>During: set AR to whichever UI joystick is selected IF health is good and no new request (aka modeReq vs modeReq_prev)</a:t>
          </a:r>
        </a:p>
      </xdr:txBody>
    </xdr:sp>
    <xdr:clientData/>
  </xdr:twoCellAnchor>
  <xdr:twoCellAnchor editAs="oneCell">
    <xdr:from>
      <xdr:col>8</xdr:col>
      <xdr:colOff>597267</xdr:colOff>
      <xdr:row>12</xdr:row>
      <xdr:rowOff>41462</xdr:rowOff>
    </xdr:from>
    <xdr:to>
      <xdr:col>11</xdr:col>
      <xdr:colOff>39773</xdr:colOff>
      <xdr:row>19</xdr:row>
      <xdr:rowOff>155762</xdr:rowOff>
    </xdr:to>
    <xdr:sp macro="" textlink="">
      <xdr:nvSpPr>
        <xdr:cNvPr id="5" name="Arc 4">
          <a:extLst>
            <a:ext uri="{FF2B5EF4-FFF2-40B4-BE49-F238E27FC236}">
              <a16:creationId xmlns:a16="http://schemas.microsoft.com/office/drawing/2014/main" id="{A5881495-7059-4A96-A4D4-8285A3821CEC}"/>
            </a:ext>
          </a:extLst>
        </xdr:cNvPr>
        <xdr:cNvSpPr/>
      </xdr:nvSpPr>
      <xdr:spPr>
        <a:xfrm flipH="1">
          <a:off x="9539561" y="2495550"/>
          <a:ext cx="1257859" cy="1447800"/>
        </a:xfrm>
        <a:prstGeom prst="arc">
          <a:avLst>
            <a:gd name="adj1" fmla="val 16200000"/>
            <a:gd name="adj2" fmla="val 455399"/>
          </a:avLst>
        </a:prstGeom>
        <a:ln>
          <a:headEnd type="none"/>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solidFill>
              <a:sysClr val="windowText" lastClr="000000"/>
            </a:solidFill>
          </a:endParaRPr>
        </a:p>
      </xdr:txBody>
    </xdr:sp>
    <xdr:clientData/>
  </xdr:twoCellAnchor>
  <xdr:twoCellAnchor editAs="oneCell">
    <xdr:from>
      <xdr:col>5</xdr:col>
      <xdr:colOff>302552</xdr:colOff>
      <xdr:row>10</xdr:row>
      <xdr:rowOff>0</xdr:rowOff>
    </xdr:from>
    <xdr:to>
      <xdr:col>9</xdr:col>
      <xdr:colOff>166961</xdr:colOff>
      <xdr:row>13</xdr:row>
      <xdr:rowOff>112059</xdr:rowOff>
    </xdr:to>
    <xdr:sp macro="" textlink="">
      <xdr:nvSpPr>
        <xdr:cNvPr id="6" name="TextBox 5">
          <a:extLst>
            <a:ext uri="{FF2B5EF4-FFF2-40B4-BE49-F238E27FC236}">
              <a16:creationId xmlns:a16="http://schemas.microsoft.com/office/drawing/2014/main" id="{53BBE139-5E66-4838-976C-AA91B07226AB}"/>
            </a:ext>
          </a:extLst>
        </xdr:cNvPr>
        <xdr:cNvSpPr txBox="1"/>
      </xdr:nvSpPr>
      <xdr:spPr>
        <a:xfrm>
          <a:off x="7429493" y="2073088"/>
          <a:ext cx="2284880" cy="6835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r>
            <a:rPr lang="en-US" sz="1100">
              <a:solidFill>
                <a:sysClr val="windowText" lastClr="000000"/>
              </a:solidFill>
            </a:rPr>
            <a:t>No fault on requested mode AND</a:t>
          </a:r>
          <a:r>
            <a:rPr lang="en-US" sz="1100" baseline="0">
              <a:solidFill>
                <a:sysClr val="windowText" lastClr="000000"/>
              </a:solidFill>
            </a:rPr>
            <a:t> input from requested mode is debounced "at Zero"</a:t>
          </a:r>
          <a:endParaRPr lang="en-US" sz="1100">
            <a:solidFill>
              <a:sysClr val="windowText" lastClr="000000"/>
            </a:solidFill>
          </a:endParaRPr>
        </a:p>
      </xdr:txBody>
    </xdr:sp>
    <xdr:clientData/>
  </xdr:twoCellAnchor>
  <xdr:twoCellAnchor editAs="oneCell">
    <xdr:from>
      <xdr:col>13</xdr:col>
      <xdr:colOff>240080</xdr:colOff>
      <xdr:row>12</xdr:row>
      <xdr:rowOff>108137</xdr:rowOff>
    </xdr:from>
    <xdr:to>
      <xdr:col>15</xdr:col>
      <xdr:colOff>468679</xdr:colOff>
      <xdr:row>20</xdr:row>
      <xdr:rowOff>17649</xdr:rowOff>
    </xdr:to>
    <xdr:sp macro="" textlink="">
      <xdr:nvSpPr>
        <xdr:cNvPr id="7" name="Arc 6">
          <a:extLst>
            <a:ext uri="{FF2B5EF4-FFF2-40B4-BE49-F238E27FC236}">
              <a16:creationId xmlns:a16="http://schemas.microsoft.com/office/drawing/2014/main" id="{DA7B1F3E-114E-4700-B455-67832DFFE45E}"/>
            </a:ext>
          </a:extLst>
        </xdr:cNvPr>
        <xdr:cNvSpPr/>
      </xdr:nvSpPr>
      <xdr:spPr>
        <a:xfrm rot="5400000" flipH="1">
          <a:off x="12210624" y="2559563"/>
          <a:ext cx="1433512" cy="1438835"/>
        </a:xfrm>
        <a:prstGeom prst="arc">
          <a:avLst>
            <a:gd name="adj1" fmla="val 15839460"/>
            <a:gd name="adj2" fmla="val 20998908"/>
          </a:avLst>
        </a:prstGeom>
        <a:ln>
          <a:headEnd type="none"/>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solidFill>
              <a:sysClr val="windowText" lastClr="000000"/>
            </a:solidFill>
          </a:endParaRPr>
        </a:p>
      </xdr:txBody>
    </xdr:sp>
    <xdr:clientData/>
  </xdr:twoCellAnchor>
  <xdr:twoCellAnchor editAs="oneCell">
    <xdr:from>
      <xdr:col>15</xdr:col>
      <xdr:colOff>15121</xdr:colOff>
      <xdr:row>9</xdr:row>
      <xdr:rowOff>122143</xdr:rowOff>
    </xdr:from>
    <xdr:to>
      <xdr:col>19</xdr:col>
      <xdr:colOff>356902</xdr:colOff>
      <xdr:row>13</xdr:row>
      <xdr:rowOff>45944</xdr:rowOff>
    </xdr:to>
    <xdr:sp macro="" textlink="">
      <xdr:nvSpPr>
        <xdr:cNvPr id="8" name="TextBox 7">
          <a:extLst>
            <a:ext uri="{FF2B5EF4-FFF2-40B4-BE49-F238E27FC236}">
              <a16:creationId xmlns:a16="http://schemas.microsoft.com/office/drawing/2014/main" id="{BE8DBF17-BFD9-49D1-96FD-0FDE281AE1E7}"/>
            </a:ext>
          </a:extLst>
        </xdr:cNvPr>
        <xdr:cNvSpPr txBox="1"/>
      </xdr:nvSpPr>
      <xdr:spPr>
        <a:xfrm>
          <a:off x="13193239" y="2004731"/>
          <a:ext cx="2762251" cy="685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rPr>
            <a:t>Fault on activeUI </a:t>
          </a:r>
          <a:r>
            <a:rPr lang="en-US" sz="1100" b="1">
              <a:solidFill>
                <a:sysClr val="windowText" lastClr="000000"/>
              </a:solidFill>
            </a:rPr>
            <a:t>OR</a:t>
          </a:r>
          <a:r>
            <a:rPr lang="en-US" sz="1100">
              <a:solidFill>
                <a:sysClr val="windowText" lastClr="000000"/>
              </a:solidFill>
            </a:rPr>
            <a:t> change in modeReq</a:t>
          </a:r>
          <a:endParaRPr lang="en-US">
            <a:effectLst/>
          </a:endParaRPr>
        </a:p>
      </xdr:txBody>
    </xdr:sp>
    <xdr:clientData/>
  </xdr:twoCellAnchor>
  <xdr:twoCellAnchor editAs="oneCell">
    <xdr:from>
      <xdr:col>18</xdr:col>
      <xdr:colOff>164721</xdr:colOff>
      <xdr:row>17</xdr:row>
      <xdr:rowOff>123265</xdr:rowOff>
    </xdr:from>
    <xdr:to>
      <xdr:col>25</xdr:col>
      <xdr:colOff>459442</xdr:colOff>
      <xdr:row>33</xdr:row>
      <xdr:rowOff>89646</xdr:rowOff>
    </xdr:to>
    <xdr:sp macro="" textlink="">
      <xdr:nvSpPr>
        <xdr:cNvPr id="22" name="Rectangle: Rounded Corners 21">
          <a:extLst>
            <a:ext uri="{FF2B5EF4-FFF2-40B4-BE49-F238E27FC236}">
              <a16:creationId xmlns:a16="http://schemas.microsoft.com/office/drawing/2014/main" id="{A7926BBA-C301-4D46-9DCF-3E7C8AFAB138}"/>
            </a:ext>
          </a:extLst>
        </xdr:cNvPr>
        <xdr:cNvSpPr/>
      </xdr:nvSpPr>
      <xdr:spPr>
        <a:xfrm>
          <a:off x="15158192" y="3529853"/>
          <a:ext cx="4530544" cy="3014381"/>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9 ROCH UNIT</a:t>
          </a:r>
        </a:p>
        <a:p>
          <a:pPr algn="l"/>
          <a:r>
            <a:rPr lang="en-US" sz="1100" b="1" baseline="0">
              <a:solidFill>
                <a:sysClr val="windowText" lastClr="000000"/>
              </a:solidFill>
            </a:rPr>
            <a:t>Single Occupant Button/Switch (Forward) + Tether Steering</a:t>
          </a:r>
        </a:p>
        <a:p>
          <a:pPr algn="l"/>
          <a:r>
            <a:rPr lang="en-US" sz="1100" baseline="0">
              <a:solidFill>
                <a:sysClr val="windowText" lastClr="000000"/>
              </a:solidFill>
            </a:rPr>
            <a:t>// "Give Occupant direct ability to create motion, while giving steering ability to parent/guardian. Allow full parental override upon request"</a:t>
          </a:r>
        </a:p>
        <a:p>
          <a:pPr algn="l"/>
          <a:r>
            <a:rPr lang="en-US" sz="1100" baseline="0">
              <a:solidFill>
                <a:sysClr val="windowText" lastClr="000000"/>
              </a:solidFill>
            </a:rPr>
            <a:t>This mode uses Occupant X for Wobble Switch and Occupant Y for Parent Override</a:t>
          </a:r>
        </a:p>
        <a:p>
          <a:pPr algn="l"/>
          <a:r>
            <a:rPr lang="en-US" sz="1100" baseline="0">
              <a:solidFill>
                <a:sysClr val="windowText" lastClr="000000"/>
              </a:solidFill>
            </a:rPr>
            <a:t>Entry: </a:t>
          </a:r>
        </a:p>
        <a:p>
          <a:pPr algn="l"/>
          <a:r>
            <a:rPr lang="en-US" sz="1100" baseline="0">
              <a:solidFill>
                <a:sysClr val="windowText" lastClr="000000"/>
              </a:solidFill>
            </a:rPr>
            <a:t>During:</a:t>
          </a:r>
        </a:p>
        <a:p>
          <a:pPr algn="l"/>
          <a:r>
            <a:rPr lang="en-US" sz="1100" baseline="0">
              <a:solidFill>
                <a:sysClr val="windowText" lastClr="000000"/>
              </a:solidFill>
            </a:rPr>
            <a:t>IF Parent Override Button THEN Radius &amp; Angle according to Tether ELSE Set Radius according to Occupant &amp; Angle according to Tether</a:t>
          </a:r>
        </a:p>
        <a:p>
          <a:pPr algn="l"/>
          <a:r>
            <a:rPr lang="en-US" sz="1100" b="1" baseline="0">
              <a:solidFill>
                <a:sysClr val="windowText" lastClr="000000"/>
              </a:solidFill>
            </a:rPr>
            <a:t>NOTES:</a:t>
          </a:r>
          <a:r>
            <a:rPr lang="en-US" sz="1100" baseline="0">
              <a:solidFill>
                <a:sysClr val="windowText" lastClr="000000"/>
              </a:solidFill>
            </a:rPr>
            <a:t> </a:t>
          </a:r>
        </a:p>
        <a:p>
          <a:pPr algn="l"/>
          <a:r>
            <a:rPr lang="en-US" sz="1100" baseline="0">
              <a:solidFill>
                <a:sysClr val="windowText" lastClr="000000"/>
              </a:solidFill>
            </a:rPr>
            <a:t>1) If Parent joystick close to center, determining direction is </a:t>
          </a:r>
          <a:r>
            <a:rPr lang="en-US" sz="1100" i="1" baseline="0">
              <a:solidFill>
                <a:sysClr val="windowText" lastClr="000000"/>
              </a:solidFill>
            </a:rPr>
            <a:t>unreliable</a:t>
          </a:r>
          <a:r>
            <a:rPr lang="en-US" sz="1100" baseline="0">
              <a:solidFill>
                <a:sysClr val="windowText" lastClr="000000"/>
              </a:solidFill>
            </a:rPr>
            <a:t>, so set angle to "forward" (0 deg)</a:t>
          </a:r>
        </a:p>
        <a:p>
          <a:pPr algn="l"/>
          <a:r>
            <a:rPr lang="en-US" sz="1100" baseline="0">
              <a:solidFill>
                <a:sysClr val="windowText" lastClr="000000"/>
              </a:solidFill>
            </a:rPr>
            <a:t>2) Health is based on Tether as exit condition, Bad health from Occupant </a:t>
          </a:r>
          <a:r>
            <a:rPr lang="en-US" sz="1100" b="1" baseline="0">
              <a:solidFill>
                <a:srgbClr val="FF0000"/>
              </a:solidFill>
            </a:rPr>
            <a:t>results in TBD</a:t>
          </a:r>
          <a:r>
            <a:rPr lang="en-US" sz="1100" b="1" baseline="0">
              <a:solidFill>
                <a:sysClr val="windowText" lastClr="000000"/>
              </a:solidFill>
            </a:rPr>
            <a:t> </a:t>
          </a:r>
          <a:r>
            <a:rPr lang="en-US" sz="1100" b="0" baseline="0">
              <a:solidFill>
                <a:sysClr val="windowText" lastClr="000000"/>
              </a:solidFill>
            </a:rPr>
            <a:t>(currently just goes to radius =0).</a:t>
          </a:r>
        </a:p>
        <a:p>
          <a:pPr algn="l"/>
          <a:endParaRPr lang="en-US" sz="1100" baseline="0">
            <a:solidFill>
              <a:sysClr val="windowText" lastClr="000000"/>
            </a:solidFill>
          </a:endParaRPr>
        </a:p>
      </xdr:txBody>
    </xdr:sp>
    <xdr:clientData/>
  </xdr:twoCellAnchor>
  <xdr:twoCellAnchor editAs="oneCell">
    <xdr:from>
      <xdr:col>4</xdr:col>
      <xdr:colOff>212910</xdr:colOff>
      <xdr:row>16</xdr:row>
      <xdr:rowOff>117659</xdr:rowOff>
    </xdr:from>
    <xdr:to>
      <xdr:col>16</xdr:col>
      <xdr:colOff>571500</xdr:colOff>
      <xdr:row>45</xdr:row>
      <xdr:rowOff>67236</xdr:rowOff>
    </xdr:to>
    <xdr:sp macro="" textlink="">
      <xdr:nvSpPr>
        <xdr:cNvPr id="27" name="Rectangle: Rounded Corners 26">
          <a:extLst>
            <a:ext uri="{FF2B5EF4-FFF2-40B4-BE49-F238E27FC236}">
              <a16:creationId xmlns:a16="http://schemas.microsoft.com/office/drawing/2014/main" id="{A34F5F39-03C1-41C1-9FB4-2898C6D26FE1}"/>
            </a:ext>
          </a:extLst>
        </xdr:cNvPr>
        <xdr:cNvSpPr/>
      </xdr:nvSpPr>
      <xdr:spPr>
        <a:xfrm>
          <a:off x="6734734" y="3333747"/>
          <a:ext cx="7620001" cy="5474077"/>
        </a:xfrm>
        <a:prstGeom prst="roundRect">
          <a:avLst>
            <a:gd name="adj" fmla="val 5648"/>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ACTIVE</a:t>
          </a:r>
        </a:p>
        <a:p>
          <a:pPr algn="l"/>
          <a:r>
            <a:rPr lang="en-US" sz="1100" baseline="0">
              <a:solidFill>
                <a:sysClr val="windowText" lastClr="000000"/>
              </a:solidFill>
            </a:rPr>
            <a:t>// "Send Angle and Radius according to Mode"</a:t>
          </a:r>
        </a:p>
        <a:p>
          <a:pPr algn="l"/>
          <a:r>
            <a:rPr lang="en-US" sz="1100" baseline="0">
              <a:solidFill>
                <a:sysClr val="windowText" lastClr="000000"/>
              </a:solidFill>
            </a:rPr>
            <a:t>Entry: modeReq_prev = modeReq</a:t>
          </a:r>
        </a:p>
        <a:p>
          <a:pPr algn="l"/>
          <a:endParaRPr lang="en-US" sz="1100">
            <a:solidFill>
              <a:sysClr val="windowText" lastClr="000000"/>
            </a:solidFill>
          </a:endParaRPr>
        </a:p>
      </xdr:txBody>
    </xdr:sp>
    <xdr:clientData/>
  </xdr:twoCellAnchor>
  <xdr:twoCellAnchor editAs="oneCell">
    <xdr:from>
      <xdr:col>5</xdr:col>
      <xdr:colOff>495293</xdr:colOff>
      <xdr:row>26</xdr:row>
      <xdr:rowOff>11205</xdr:rowOff>
    </xdr:from>
    <xdr:to>
      <xdr:col>6</xdr:col>
      <xdr:colOff>581018</xdr:colOff>
      <xdr:row>27</xdr:row>
      <xdr:rowOff>103092</xdr:rowOff>
    </xdr:to>
    <xdr:sp macro="" textlink="">
      <xdr:nvSpPr>
        <xdr:cNvPr id="28" name="Arc 27">
          <a:extLst>
            <a:ext uri="{FF2B5EF4-FFF2-40B4-BE49-F238E27FC236}">
              <a16:creationId xmlns:a16="http://schemas.microsoft.com/office/drawing/2014/main" id="{0522F29F-1F89-4678-BA54-D20011953CD2}"/>
            </a:ext>
          </a:extLst>
        </xdr:cNvPr>
        <xdr:cNvSpPr/>
      </xdr:nvSpPr>
      <xdr:spPr>
        <a:xfrm>
          <a:off x="7622234" y="5132293"/>
          <a:ext cx="690843" cy="282387"/>
        </a:xfrm>
        <a:prstGeom prst="arc">
          <a:avLst>
            <a:gd name="adj1" fmla="val 11265064"/>
            <a:gd name="adj2" fmla="val 21576542"/>
          </a:avLst>
        </a:prstGeom>
        <a:ln>
          <a:headEnd type="oval"/>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solidFill>
              <a:sysClr val="windowText" lastClr="000000"/>
            </a:solidFill>
          </a:endParaRPr>
        </a:p>
      </xdr:txBody>
    </xdr:sp>
    <xdr:clientData/>
  </xdr:twoCellAnchor>
  <xdr:twoCellAnchor editAs="oneCell">
    <xdr:from>
      <xdr:col>8</xdr:col>
      <xdr:colOff>429180</xdr:colOff>
      <xdr:row>25</xdr:row>
      <xdr:rowOff>142873</xdr:rowOff>
    </xdr:from>
    <xdr:to>
      <xdr:col>15</xdr:col>
      <xdr:colOff>533400</xdr:colOff>
      <xdr:row>31</xdr:row>
      <xdr:rowOff>186019</xdr:rowOff>
    </xdr:to>
    <xdr:sp macro="" textlink="">
      <xdr:nvSpPr>
        <xdr:cNvPr id="29" name="Rectangle: Rounded Corners 28">
          <a:extLst>
            <a:ext uri="{FF2B5EF4-FFF2-40B4-BE49-F238E27FC236}">
              <a16:creationId xmlns:a16="http://schemas.microsoft.com/office/drawing/2014/main" id="{3EC88308-A9E3-4391-88D9-27FC7D447A1E}"/>
            </a:ext>
          </a:extLst>
        </xdr:cNvPr>
        <xdr:cNvSpPr/>
      </xdr:nvSpPr>
      <xdr:spPr>
        <a:xfrm>
          <a:off x="9371474" y="5073461"/>
          <a:ext cx="4340044" cy="1186146"/>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1 (Tether)</a:t>
          </a:r>
        </a:p>
        <a:p>
          <a:pPr algn="l"/>
          <a:r>
            <a:rPr lang="en-US" sz="1100" baseline="0">
              <a:solidFill>
                <a:sysClr val="windowText" lastClr="000000"/>
              </a:solidFill>
            </a:rPr>
            <a:t>// "send Angle &amp; Radius"</a:t>
          </a:r>
        </a:p>
        <a:p>
          <a:pPr algn="l"/>
          <a:r>
            <a:rPr lang="en-US" sz="1100" baseline="0">
              <a:solidFill>
                <a:sysClr val="windowText" lastClr="000000"/>
              </a:solidFill>
            </a:rPr>
            <a:t>Entry: set connection to requested input mode</a:t>
          </a:r>
        </a:p>
        <a:p>
          <a:pPr algn="l"/>
          <a:r>
            <a:rPr lang="en-US" sz="1100" baseline="0">
              <a:solidFill>
                <a:sysClr val="windowText" lastClr="000000"/>
              </a:solidFill>
            </a:rPr>
            <a:t>During: set AR to whichever UI joystick is selected IF health is good and no new request (aka modeReq vs modeReq_prev)</a:t>
          </a:r>
        </a:p>
      </xdr:txBody>
    </xdr:sp>
    <xdr:clientData/>
  </xdr:twoCellAnchor>
  <xdr:twoCellAnchor editAs="oneCell">
    <xdr:from>
      <xdr:col>18</xdr:col>
      <xdr:colOff>373150</xdr:colOff>
      <xdr:row>34</xdr:row>
      <xdr:rowOff>152400</xdr:rowOff>
    </xdr:from>
    <xdr:to>
      <xdr:col>25</xdr:col>
      <xdr:colOff>515471</xdr:colOff>
      <xdr:row>52</xdr:row>
      <xdr:rowOff>89647</xdr:rowOff>
    </xdr:to>
    <xdr:sp macro="" textlink="">
      <xdr:nvSpPr>
        <xdr:cNvPr id="30" name="Rectangle: Rounded Corners 29">
          <a:extLst>
            <a:ext uri="{FF2B5EF4-FFF2-40B4-BE49-F238E27FC236}">
              <a16:creationId xmlns:a16="http://schemas.microsoft.com/office/drawing/2014/main" id="{AB646D70-9B67-4CD1-9E1F-A6DAD92C179E}"/>
            </a:ext>
          </a:extLst>
        </xdr:cNvPr>
        <xdr:cNvSpPr/>
      </xdr:nvSpPr>
      <xdr:spPr>
        <a:xfrm>
          <a:off x="15366621" y="6797488"/>
          <a:ext cx="4378144" cy="3366247"/>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Double Occupant Button/Switch (Forward+Backward) + Tether Steering</a:t>
          </a:r>
        </a:p>
        <a:p>
          <a:pPr algn="l"/>
          <a:r>
            <a:rPr lang="en-US" sz="1100" baseline="0">
              <a:solidFill>
                <a:sysClr val="windowText" lastClr="000000"/>
              </a:solidFill>
            </a:rPr>
            <a:t>// "Give Occupant direct ability to create motion AND determine Forard/Backward, while giving steering ability to parent/guardian. Allow full parental override upon request"</a:t>
          </a:r>
        </a:p>
        <a:p>
          <a:pPr algn="l"/>
          <a:r>
            <a:rPr lang="en-US" sz="1100" baseline="0">
              <a:solidFill>
                <a:sysClr val="windowText" lastClr="000000"/>
              </a:solidFill>
            </a:rPr>
            <a:t>This Mode requires dedicated Parent Override</a:t>
          </a:r>
        </a:p>
        <a:p>
          <a:pPr algn="l"/>
          <a:r>
            <a:rPr lang="en-US" sz="1100" baseline="0">
              <a:solidFill>
                <a:sysClr val="windowText" lastClr="000000"/>
              </a:solidFill>
            </a:rPr>
            <a:t>Entry: </a:t>
          </a:r>
        </a:p>
        <a:p>
          <a:pPr algn="l"/>
          <a:r>
            <a:rPr lang="en-US" sz="1100" baseline="0">
              <a:solidFill>
                <a:sysClr val="windowText" lastClr="000000"/>
              </a:solidFill>
            </a:rPr>
            <a:t>During:</a:t>
          </a:r>
        </a:p>
        <a:p>
          <a:pPr algn="l"/>
          <a:r>
            <a:rPr lang="en-US" sz="1100" baseline="0">
              <a:solidFill>
                <a:sysClr val="windowText" lastClr="000000"/>
              </a:solidFill>
            </a:rPr>
            <a:t>IF Parent Override Button THEN Radius &amp; Angle according to Tether (Left/Right but not forward/back) ELSE Set Radius according to Occupant &amp; Angle according to Tether</a:t>
          </a:r>
        </a:p>
        <a:p>
          <a:pPr algn="l"/>
          <a:r>
            <a:rPr lang="en-US" sz="1100" b="1" baseline="0">
              <a:solidFill>
                <a:sysClr val="windowText" lastClr="000000"/>
              </a:solidFill>
            </a:rPr>
            <a:t>NOTES:</a:t>
          </a:r>
          <a:r>
            <a:rPr lang="en-US" sz="1100" baseline="0">
              <a:solidFill>
                <a:sysClr val="windowText" lastClr="000000"/>
              </a:solidFill>
            </a:rPr>
            <a:t> </a:t>
          </a:r>
        </a:p>
        <a:p>
          <a:pPr algn="l"/>
          <a:r>
            <a:rPr lang="en-US" sz="1100" baseline="0">
              <a:solidFill>
                <a:sysClr val="windowText" lastClr="000000"/>
              </a:solidFill>
            </a:rPr>
            <a:t>1) If Parent joystick close to center, determining direction is </a:t>
          </a:r>
          <a:r>
            <a:rPr lang="en-US" sz="1100" i="1" baseline="0">
              <a:solidFill>
                <a:sysClr val="windowText" lastClr="000000"/>
              </a:solidFill>
            </a:rPr>
            <a:t>unreliable</a:t>
          </a:r>
          <a:r>
            <a:rPr lang="en-US" sz="1100" baseline="0">
              <a:solidFill>
                <a:sysClr val="windowText" lastClr="000000"/>
              </a:solidFill>
            </a:rPr>
            <a:t>, so set angle to "forward" (0 deg)</a:t>
          </a:r>
        </a:p>
        <a:p>
          <a:pPr algn="l"/>
          <a:r>
            <a:rPr lang="en-US" sz="1100" baseline="0">
              <a:solidFill>
                <a:sysClr val="windowText" lastClr="000000"/>
              </a:solidFill>
            </a:rPr>
            <a:t>2) Health is based on Tether as exit condition, Bad health from Occupant </a:t>
          </a:r>
          <a:r>
            <a:rPr lang="en-US" sz="1100" b="1" baseline="0">
              <a:solidFill>
                <a:srgbClr val="FF0000"/>
              </a:solidFill>
            </a:rPr>
            <a:t>results in TBD</a:t>
          </a:r>
          <a:r>
            <a:rPr lang="en-US" sz="1100" b="1" baseline="0">
              <a:solidFill>
                <a:sysClr val="windowText" lastClr="000000"/>
              </a:solidFill>
            </a:rPr>
            <a:t> </a:t>
          </a:r>
          <a:r>
            <a:rPr lang="en-US" sz="1100" b="0" baseline="0">
              <a:solidFill>
                <a:sysClr val="windowText" lastClr="000000"/>
              </a:solidFill>
            </a:rPr>
            <a:t>(currently just goes to radius =0).</a:t>
          </a:r>
        </a:p>
        <a:p>
          <a:pPr algn="l"/>
          <a:endParaRPr lang="en-US" sz="1100" baseline="0">
            <a:solidFill>
              <a:sysClr val="windowText" lastClr="000000"/>
            </a:solidFill>
          </a:endParaRPr>
        </a:p>
      </xdr:txBody>
    </xdr:sp>
    <xdr:clientData/>
  </xdr:twoCellAnchor>
  <xdr:twoCellAnchor editAs="oneCell">
    <xdr:from>
      <xdr:col>8</xdr:col>
      <xdr:colOff>424697</xdr:colOff>
      <xdr:row>32</xdr:row>
      <xdr:rowOff>82361</xdr:rowOff>
    </xdr:from>
    <xdr:to>
      <xdr:col>15</xdr:col>
      <xdr:colOff>528917</xdr:colOff>
      <xdr:row>38</xdr:row>
      <xdr:rowOff>125507</xdr:rowOff>
    </xdr:to>
    <xdr:sp macro="" textlink="">
      <xdr:nvSpPr>
        <xdr:cNvPr id="31" name="Rectangle: Rounded Corners 30">
          <a:extLst>
            <a:ext uri="{FF2B5EF4-FFF2-40B4-BE49-F238E27FC236}">
              <a16:creationId xmlns:a16="http://schemas.microsoft.com/office/drawing/2014/main" id="{BBA08937-E058-4515-B9B6-0E4BD867DF40}"/>
            </a:ext>
          </a:extLst>
        </xdr:cNvPr>
        <xdr:cNvSpPr/>
      </xdr:nvSpPr>
      <xdr:spPr>
        <a:xfrm>
          <a:off x="9366991" y="6346449"/>
          <a:ext cx="4340044" cy="1186146"/>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2 (OTHER)</a:t>
          </a:r>
        </a:p>
        <a:p>
          <a:pPr algn="l"/>
          <a:r>
            <a:rPr lang="en-US" sz="1100" baseline="0">
              <a:solidFill>
                <a:sysClr val="windowText" lastClr="000000"/>
              </a:solidFill>
            </a:rPr>
            <a:t>// "send Angle &amp; Radius"</a:t>
          </a:r>
        </a:p>
        <a:p>
          <a:pPr algn="l"/>
          <a:r>
            <a:rPr lang="en-US" sz="1100" baseline="0">
              <a:solidFill>
                <a:sysClr val="windowText" lastClr="000000"/>
              </a:solidFill>
            </a:rPr>
            <a:t>Entry: set connection to requested input mode</a:t>
          </a:r>
        </a:p>
        <a:p>
          <a:pPr algn="l"/>
          <a:r>
            <a:rPr lang="en-US" sz="1100" baseline="0">
              <a:solidFill>
                <a:sysClr val="windowText" lastClr="000000"/>
              </a:solidFill>
            </a:rPr>
            <a:t>During: set AR to whichever UI joystick is selected IF health is good and no new request (aka modeReq vs modeReq_prev)</a:t>
          </a:r>
        </a:p>
      </xdr:txBody>
    </xdr:sp>
    <xdr:clientData/>
  </xdr:twoCellAnchor>
  <xdr:twoCellAnchor>
    <xdr:from>
      <xdr:col>0</xdr:col>
      <xdr:colOff>68037</xdr:colOff>
      <xdr:row>0</xdr:row>
      <xdr:rowOff>81642</xdr:rowOff>
    </xdr:from>
    <xdr:to>
      <xdr:col>0</xdr:col>
      <xdr:colOff>503465</xdr:colOff>
      <xdr:row>0</xdr:row>
      <xdr:rowOff>489856</xdr:rowOff>
    </xdr:to>
    <xdr:sp macro="" textlink="">
      <xdr:nvSpPr>
        <xdr:cNvPr id="10" name="Arrow: Pentagon 9">
          <a:hlinkClick xmlns:r="http://schemas.openxmlformats.org/officeDocument/2006/relationships" r:id="rId1"/>
          <a:extLst>
            <a:ext uri="{FF2B5EF4-FFF2-40B4-BE49-F238E27FC236}">
              <a16:creationId xmlns:a16="http://schemas.microsoft.com/office/drawing/2014/main" id="{C7F44315-1145-4AA3-9B12-06D3E9B1BAA8}"/>
            </a:ext>
          </a:extLst>
        </xdr:cNvPr>
        <xdr:cNvSpPr/>
      </xdr:nvSpPr>
      <xdr:spPr>
        <a:xfrm rot="16200000">
          <a:off x="81644" y="68035"/>
          <a:ext cx="408214" cy="435428"/>
        </a:xfrm>
        <a:prstGeom prst="homePlate">
          <a:avLst/>
        </a:prstGeom>
        <a:effectLst>
          <a:glow rad="63500">
            <a:schemeClr val="accent1">
              <a:satMod val="175000"/>
              <a:alpha val="40000"/>
            </a:schemeClr>
          </a:glo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0</xdr:colOff>
      <xdr:row>2</xdr:row>
      <xdr:rowOff>0</xdr:rowOff>
    </xdr:from>
    <xdr:to>
      <xdr:col>17</xdr:col>
      <xdr:colOff>410908</xdr:colOff>
      <xdr:row>41</xdr:row>
      <xdr:rowOff>58195</xdr:rowOff>
    </xdr:to>
    <xdr:pic>
      <xdr:nvPicPr>
        <xdr:cNvPr id="2" name="Picture 1">
          <a:extLst>
            <a:ext uri="{FF2B5EF4-FFF2-40B4-BE49-F238E27FC236}">
              <a16:creationId xmlns:a16="http://schemas.microsoft.com/office/drawing/2014/main" id="{83575233-0377-2B6C-9007-EA160DE47276}"/>
            </a:ext>
          </a:extLst>
        </xdr:cNvPr>
        <xdr:cNvPicPr>
          <a:picLocks noChangeAspect="1"/>
        </xdr:cNvPicPr>
      </xdr:nvPicPr>
      <xdr:blipFill>
        <a:blip xmlns:r="http://schemas.openxmlformats.org/officeDocument/2006/relationships" r:embed="rId1"/>
        <a:stretch>
          <a:fillRect/>
        </a:stretch>
      </xdr:blipFill>
      <xdr:spPr>
        <a:xfrm>
          <a:off x="1219200" y="190500"/>
          <a:ext cx="9554908" cy="7487695"/>
        </a:xfrm>
        <a:prstGeom prst="rect">
          <a:avLst/>
        </a:prstGeom>
      </xdr:spPr>
    </xdr:pic>
    <xdr:clientData/>
  </xdr:twoCellAnchor>
  <xdr:twoCellAnchor editAs="oneCell">
    <xdr:from>
      <xdr:col>18</xdr:col>
      <xdr:colOff>0</xdr:colOff>
      <xdr:row>2</xdr:row>
      <xdr:rowOff>0</xdr:rowOff>
    </xdr:from>
    <xdr:to>
      <xdr:col>34</xdr:col>
      <xdr:colOff>87098</xdr:colOff>
      <xdr:row>42</xdr:row>
      <xdr:rowOff>1064</xdr:rowOff>
    </xdr:to>
    <xdr:pic>
      <xdr:nvPicPr>
        <xdr:cNvPr id="3" name="Picture 2">
          <a:extLst>
            <a:ext uri="{FF2B5EF4-FFF2-40B4-BE49-F238E27FC236}">
              <a16:creationId xmlns:a16="http://schemas.microsoft.com/office/drawing/2014/main" id="{2ACADEFA-F183-315F-900B-D1EFA9EABCC0}"/>
            </a:ext>
          </a:extLst>
        </xdr:cNvPr>
        <xdr:cNvPicPr>
          <a:picLocks noChangeAspect="1"/>
        </xdr:cNvPicPr>
      </xdr:nvPicPr>
      <xdr:blipFill>
        <a:blip xmlns:r="http://schemas.openxmlformats.org/officeDocument/2006/relationships" r:embed="rId2"/>
        <a:stretch>
          <a:fillRect/>
        </a:stretch>
      </xdr:blipFill>
      <xdr:spPr>
        <a:xfrm>
          <a:off x="10972800" y="190500"/>
          <a:ext cx="9840698" cy="7621064"/>
        </a:xfrm>
        <a:prstGeom prst="rect">
          <a:avLst/>
        </a:prstGeom>
      </xdr:spPr>
    </xdr:pic>
    <xdr:clientData/>
  </xdr:twoCellAnchor>
  <xdr:oneCellAnchor>
    <xdr:from>
      <xdr:col>24</xdr:col>
      <xdr:colOff>285752</xdr:colOff>
      <xdr:row>2</xdr:row>
      <xdr:rowOff>47626</xdr:rowOff>
    </xdr:from>
    <xdr:ext cx="828945" cy="375680"/>
    <xdr:sp macro="" textlink="">
      <xdr:nvSpPr>
        <xdr:cNvPr id="4" name="TextBox 3">
          <a:extLst>
            <a:ext uri="{FF2B5EF4-FFF2-40B4-BE49-F238E27FC236}">
              <a16:creationId xmlns:a16="http://schemas.microsoft.com/office/drawing/2014/main" id="{6DD8597F-DAE8-0807-BD98-90B2CCB8DEBF}"/>
            </a:ext>
          </a:extLst>
        </xdr:cNvPr>
        <xdr:cNvSpPr txBox="1"/>
      </xdr:nvSpPr>
      <xdr:spPr>
        <a:xfrm>
          <a:off x="15144752" y="238126"/>
          <a:ext cx="828945" cy="37568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2400"/>
            <a:t>Radius</a:t>
          </a:r>
        </a:p>
      </xdr:txBody>
    </xdr:sp>
    <xdr:clientData/>
  </xdr:oneCellAnchor>
  <xdr:oneCellAnchor>
    <xdr:from>
      <xdr:col>28</xdr:col>
      <xdr:colOff>394610</xdr:colOff>
      <xdr:row>2</xdr:row>
      <xdr:rowOff>61233</xdr:rowOff>
    </xdr:from>
    <xdr:ext cx="1238248" cy="375680"/>
    <xdr:sp macro="" textlink="">
      <xdr:nvSpPr>
        <xdr:cNvPr id="5" name="TextBox 4">
          <a:extLst>
            <a:ext uri="{FF2B5EF4-FFF2-40B4-BE49-F238E27FC236}">
              <a16:creationId xmlns:a16="http://schemas.microsoft.com/office/drawing/2014/main" id="{AEECB4EF-08BE-4D36-8F91-0E626C1249DA}"/>
            </a:ext>
          </a:extLst>
        </xdr:cNvPr>
        <xdr:cNvSpPr txBox="1"/>
      </xdr:nvSpPr>
      <xdr:spPr>
        <a:xfrm>
          <a:off x="17539610" y="251733"/>
          <a:ext cx="1238248" cy="37568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n-US" sz="2400"/>
        </a:p>
      </xdr:txBody>
    </xdr:sp>
    <xdr:clientData/>
  </xdr:oneCellAnchor>
  <xdr:oneCellAnchor>
    <xdr:from>
      <xdr:col>18</xdr:col>
      <xdr:colOff>163285</xdr:colOff>
      <xdr:row>11</xdr:row>
      <xdr:rowOff>36740</xdr:rowOff>
    </xdr:from>
    <xdr:ext cx="299358" cy="507545"/>
    <xdr:sp macro="" textlink="">
      <xdr:nvSpPr>
        <xdr:cNvPr id="6" name="TextBox 5">
          <a:extLst>
            <a:ext uri="{FF2B5EF4-FFF2-40B4-BE49-F238E27FC236}">
              <a16:creationId xmlns:a16="http://schemas.microsoft.com/office/drawing/2014/main" id="{C13F4C87-6063-4581-9071-9D5EFC6157B9}"/>
            </a:ext>
          </a:extLst>
        </xdr:cNvPr>
        <xdr:cNvSpPr txBox="1"/>
      </xdr:nvSpPr>
      <xdr:spPr>
        <a:xfrm>
          <a:off x="11185071" y="1941740"/>
          <a:ext cx="299358" cy="50754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n-US" sz="2400"/>
        </a:p>
      </xdr:txBody>
    </xdr:sp>
    <xdr:clientData/>
  </xdr:oneCellAnchor>
  <xdr:oneCellAnchor>
    <xdr:from>
      <xdr:col>18</xdr:col>
      <xdr:colOff>163285</xdr:colOff>
      <xdr:row>24</xdr:row>
      <xdr:rowOff>36742</xdr:rowOff>
    </xdr:from>
    <xdr:ext cx="299358" cy="507545"/>
    <xdr:sp macro="" textlink="">
      <xdr:nvSpPr>
        <xdr:cNvPr id="7" name="TextBox 6">
          <a:extLst>
            <a:ext uri="{FF2B5EF4-FFF2-40B4-BE49-F238E27FC236}">
              <a16:creationId xmlns:a16="http://schemas.microsoft.com/office/drawing/2014/main" id="{9AADDA8B-4349-E91E-39FF-BA940AF8FAAA}"/>
            </a:ext>
          </a:extLst>
        </xdr:cNvPr>
        <xdr:cNvSpPr txBox="1"/>
      </xdr:nvSpPr>
      <xdr:spPr>
        <a:xfrm>
          <a:off x="11185071" y="4418242"/>
          <a:ext cx="299358" cy="50754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n-US" sz="2400"/>
        </a:p>
      </xdr:txBody>
    </xdr:sp>
    <xdr:clientData/>
  </xdr:oneCellAnchor>
  <xdr:oneCellAnchor>
    <xdr:from>
      <xdr:col>25</xdr:col>
      <xdr:colOff>326573</xdr:colOff>
      <xdr:row>39</xdr:row>
      <xdr:rowOff>47626</xdr:rowOff>
    </xdr:from>
    <xdr:ext cx="828945" cy="375680"/>
    <xdr:sp macro="" textlink="">
      <xdr:nvSpPr>
        <xdr:cNvPr id="8" name="TextBox 7">
          <a:extLst>
            <a:ext uri="{FF2B5EF4-FFF2-40B4-BE49-F238E27FC236}">
              <a16:creationId xmlns:a16="http://schemas.microsoft.com/office/drawing/2014/main" id="{9E4FAB56-EC70-2CD0-4B48-2AFB58E7A72A}"/>
            </a:ext>
          </a:extLst>
        </xdr:cNvPr>
        <xdr:cNvSpPr txBox="1"/>
      </xdr:nvSpPr>
      <xdr:spPr>
        <a:xfrm>
          <a:off x="15634609" y="7286626"/>
          <a:ext cx="828945" cy="37568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2400"/>
            <a:t>Radius</a:t>
          </a:r>
        </a:p>
      </xdr:txBody>
    </xdr:sp>
    <xdr:clientData/>
  </xdr:oneCellAnchor>
  <xdr:twoCellAnchor>
    <xdr:from>
      <xdr:col>0</xdr:col>
      <xdr:colOff>68037</xdr:colOff>
      <xdr:row>0</xdr:row>
      <xdr:rowOff>81642</xdr:rowOff>
    </xdr:from>
    <xdr:to>
      <xdr:col>0</xdr:col>
      <xdr:colOff>503465</xdr:colOff>
      <xdr:row>0</xdr:row>
      <xdr:rowOff>489856</xdr:rowOff>
    </xdr:to>
    <xdr:sp macro="" textlink="">
      <xdr:nvSpPr>
        <xdr:cNvPr id="9" name="Arrow: Pentagon 8">
          <a:hlinkClick xmlns:r="http://schemas.openxmlformats.org/officeDocument/2006/relationships" r:id="rId3"/>
          <a:extLst>
            <a:ext uri="{FF2B5EF4-FFF2-40B4-BE49-F238E27FC236}">
              <a16:creationId xmlns:a16="http://schemas.microsoft.com/office/drawing/2014/main" id="{7B113FA0-3073-444F-A2E1-BC41C6E36657}"/>
            </a:ext>
          </a:extLst>
        </xdr:cNvPr>
        <xdr:cNvSpPr/>
      </xdr:nvSpPr>
      <xdr:spPr>
        <a:xfrm rot="16200000">
          <a:off x="81644" y="68035"/>
          <a:ext cx="408214" cy="435428"/>
        </a:xfrm>
        <a:prstGeom prst="homePlate">
          <a:avLst/>
        </a:prstGeom>
        <a:effectLst>
          <a:glow rad="63500">
            <a:schemeClr val="accent1">
              <a:satMod val="175000"/>
              <a:alpha val="40000"/>
            </a:schemeClr>
          </a:glo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10</xdr:col>
      <xdr:colOff>11201</xdr:colOff>
      <xdr:row>3</xdr:row>
      <xdr:rowOff>38100</xdr:rowOff>
    </xdr:from>
    <xdr:to>
      <xdr:col>14</xdr:col>
      <xdr:colOff>473443</xdr:colOff>
      <xdr:row>11</xdr:row>
      <xdr:rowOff>47625</xdr:rowOff>
    </xdr:to>
    <xdr:sp macro="" textlink="">
      <xdr:nvSpPr>
        <xdr:cNvPr id="12" name="Rectangle: Rounded Corners 11">
          <a:extLst>
            <a:ext uri="{FF2B5EF4-FFF2-40B4-BE49-F238E27FC236}">
              <a16:creationId xmlns:a16="http://schemas.microsoft.com/office/drawing/2014/main" id="{CFCD5AB9-CFC9-45F8-8B5B-1CE6A3528781}"/>
            </a:ext>
          </a:extLst>
        </xdr:cNvPr>
        <xdr:cNvSpPr/>
      </xdr:nvSpPr>
      <xdr:spPr>
        <a:xfrm>
          <a:off x="6062377" y="419100"/>
          <a:ext cx="2882713" cy="1724025"/>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STOP</a:t>
          </a:r>
        </a:p>
        <a:p>
          <a:pPr algn="l"/>
          <a:r>
            <a:rPr lang="en-US" sz="1100" baseline="0">
              <a:solidFill>
                <a:sysClr val="windowText" lastClr="000000"/>
              </a:solidFill>
            </a:rPr>
            <a:t>// "Ramp up the Brake to MaxBrake and Hold for a debounced time unless driving in the same direction again"</a:t>
          </a:r>
        </a:p>
        <a:p>
          <a:pPr algn="l"/>
          <a:r>
            <a:rPr lang="en-US" sz="1100" baseline="0">
              <a:solidFill>
                <a:sysClr val="windowText" lastClr="000000"/>
              </a:solidFill>
            </a:rPr>
            <a:t>Entry: PID=0; Brake=0; </a:t>
          </a:r>
        </a:p>
        <a:p>
          <a:pPr algn="l"/>
          <a:r>
            <a:rPr lang="en-US" sz="1100" baseline="0">
              <a:solidFill>
                <a:sysClr val="windowText" lastClr="000000"/>
              </a:solidFill>
            </a:rPr>
            <a:t>  DirPrev = Dir; PrevMotorState =MotorState; MotorState =Stop;</a:t>
          </a:r>
        </a:p>
        <a:p>
          <a:pPr algn="l"/>
          <a:endParaRPr lang="en-US" sz="1100" baseline="0">
            <a:solidFill>
              <a:sysClr val="windowText" lastClr="000000"/>
            </a:solidFill>
          </a:endParaRPr>
        </a:p>
        <a:p>
          <a:pPr algn="l"/>
          <a:r>
            <a:rPr lang="en-US" sz="1100" baseline="0">
              <a:solidFill>
                <a:sysClr val="windowText" lastClr="000000"/>
              </a:solidFill>
            </a:rPr>
            <a:t>During: BRAKE = Ramp Up to MaxBrake</a:t>
          </a:r>
          <a:endParaRPr lang="en-US" sz="1100">
            <a:solidFill>
              <a:sysClr val="windowText" lastClr="000000"/>
            </a:solidFill>
          </a:endParaRPr>
        </a:p>
      </xdr:txBody>
    </xdr:sp>
    <xdr:clientData/>
  </xdr:twoCellAnchor>
  <xdr:twoCellAnchor editAs="oneCell">
    <xdr:from>
      <xdr:col>11</xdr:col>
      <xdr:colOff>3356</xdr:colOff>
      <xdr:row>2</xdr:row>
      <xdr:rowOff>135031</xdr:rowOff>
    </xdr:from>
    <xdr:to>
      <xdr:col>12</xdr:col>
      <xdr:colOff>193856</xdr:colOff>
      <xdr:row>4</xdr:row>
      <xdr:rowOff>306481</xdr:rowOff>
    </xdr:to>
    <xdr:sp macro="" textlink="">
      <xdr:nvSpPr>
        <xdr:cNvPr id="13" name="Arc 12">
          <a:extLst>
            <a:ext uri="{FF2B5EF4-FFF2-40B4-BE49-F238E27FC236}">
              <a16:creationId xmlns:a16="http://schemas.microsoft.com/office/drawing/2014/main" id="{B65F2686-96A4-83E5-FB6F-B45671E3458A}"/>
            </a:ext>
          </a:extLst>
        </xdr:cNvPr>
        <xdr:cNvSpPr/>
      </xdr:nvSpPr>
      <xdr:spPr>
        <a:xfrm>
          <a:off x="10761003" y="325531"/>
          <a:ext cx="795618" cy="933450"/>
        </a:xfrm>
        <a:prstGeom prst="arc">
          <a:avLst>
            <a:gd name="adj1" fmla="val 16200000"/>
            <a:gd name="adj2" fmla="val 68746"/>
          </a:avLst>
        </a:prstGeom>
        <a:ln>
          <a:headEnd type="oval"/>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solidFill>
              <a:sysClr val="windowText" lastClr="000000"/>
            </a:solidFill>
          </a:endParaRPr>
        </a:p>
      </xdr:txBody>
    </xdr:sp>
    <xdr:clientData/>
  </xdr:twoCellAnchor>
  <xdr:twoCellAnchor editAs="oneCell">
    <xdr:from>
      <xdr:col>8</xdr:col>
      <xdr:colOff>444868</xdr:colOff>
      <xdr:row>18</xdr:row>
      <xdr:rowOff>57708</xdr:rowOff>
    </xdr:from>
    <xdr:to>
      <xdr:col>15</xdr:col>
      <xdr:colOff>492492</xdr:colOff>
      <xdr:row>27</xdr:row>
      <xdr:rowOff>44822</xdr:rowOff>
    </xdr:to>
    <xdr:sp macro="" textlink="">
      <xdr:nvSpPr>
        <xdr:cNvPr id="14" name="Rectangle: Rounded Corners 13">
          <a:extLst>
            <a:ext uri="{FF2B5EF4-FFF2-40B4-BE49-F238E27FC236}">
              <a16:creationId xmlns:a16="http://schemas.microsoft.com/office/drawing/2014/main" id="{647547C1-BE8B-4003-B862-38B99E30151B}"/>
            </a:ext>
          </a:extLst>
        </xdr:cNvPr>
        <xdr:cNvSpPr/>
      </xdr:nvSpPr>
      <xdr:spPr>
        <a:xfrm>
          <a:off x="5285809" y="3296208"/>
          <a:ext cx="4283448" cy="1701614"/>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DRIVE</a:t>
          </a:r>
        </a:p>
        <a:p>
          <a:pPr algn="l"/>
          <a:r>
            <a:rPr lang="en-US" sz="1100" baseline="0">
              <a:solidFill>
                <a:sysClr val="windowText" lastClr="000000"/>
              </a:solidFill>
            </a:rPr>
            <a:t>// "Drive with PID (Error Controlled on Speed)"</a:t>
          </a:r>
        </a:p>
        <a:p>
          <a:pPr algn="l"/>
          <a:r>
            <a:rPr lang="en-US" sz="1100" baseline="0">
              <a:solidFill>
                <a:sysClr val="windowText" lastClr="000000"/>
              </a:solidFill>
            </a:rPr>
            <a:t>Entry: Reset PID;</a:t>
          </a:r>
        </a:p>
        <a:p>
          <a:pPr algn="l"/>
          <a:r>
            <a:rPr lang="en-US" sz="1100" baseline="0">
              <a:solidFill>
                <a:sysClr val="windowText" lastClr="000000"/>
              </a:solidFill>
            </a:rPr>
            <a:t>  Calc current(and speed) (with TBD %DC for TBD time);</a:t>
          </a:r>
        </a:p>
        <a:p>
          <a:pPr algn="l"/>
          <a:r>
            <a:rPr lang="en-US" sz="1100" baseline="0">
              <a:solidFill>
                <a:sysClr val="windowText" lastClr="000000"/>
              </a:solidFill>
            </a:rPr>
            <a:t>  PrevMotorState =MotorState; MotorState =Drive;</a:t>
          </a:r>
        </a:p>
        <a:p>
          <a:pPr algn="l"/>
          <a:endParaRPr lang="en-US" sz="1100" baseline="0">
            <a:solidFill>
              <a:sysClr val="windowText" lastClr="000000"/>
            </a:solidFill>
          </a:endParaRPr>
        </a:p>
        <a:p>
          <a:pPr algn="l"/>
          <a:r>
            <a:rPr lang="en-US" sz="1100" baseline="0">
              <a:solidFill>
                <a:sysClr val="windowText" lastClr="000000"/>
              </a:solidFill>
            </a:rPr>
            <a:t>During:</a:t>
          </a:r>
        </a:p>
        <a:p>
          <a:pPr algn="l"/>
          <a:r>
            <a:rPr lang="en-US" sz="1100" baseline="0">
              <a:solidFill>
                <a:sysClr val="windowText" lastClr="000000"/>
              </a:solidFill>
            </a:rPr>
            <a:t>PID on Error (Target-Actual) (rate Limited); //D</a:t>
          </a:r>
          <a:r>
            <a:rPr lang="en-US" sz="1100" baseline="0">
              <a:solidFill>
                <a:sysClr val="windowText" lastClr="000000"/>
              </a:solidFill>
              <a:effectLst/>
              <a:latin typeface="+mn-lt"/>
              <a:ea typeface="+mn-ea"/>
              <a:cs typeface="+mn-cs"/>
            </a:rPr>
            <a:t>irection depends on Dir </a:t>
          </a:r>
          <a:endParaRPr lang="en-US" sz="1100" baseline="0">
            <a:solidFill>
              <a:sysClr val="windowText" lastClr="000000"/>
            </a:solidFill>
          </a:endParaRPr>
        </a:p>
        <a:p>
          <a:pPr algn="l"/>
          <a:r>
            <a:rPr lang="en-US" sz="1100">
              <a:solidFill>
                <a:sysClr val="windowText" lastClr="000000"/>
              </a:solidFill>
            </a:rPr>
            <a:t>Brake -=BrakeDecel; // decrement brake each loop - Limited</a:t>
          </a:r>
          <a:r>
            <a:rPr lang="en-US" sz="1100" baseline="0">
              <a:solidFill>
                <a:sysClr val="windowText" lastClr="000000"/>
              </a:solidFill>
            </a:rPr>
            <a:t> to 0</a:t>
          </a:r>
          <a:endParaRPr lang="en-US" sz="1100">
            <a:solidFill>
              <a:sysClr val="windowText" lastClr="000000"/>
            </a:solidFill>
          </a:endParaRPr>
        </a:p>
      </xdr:txBody>
    </xdr:sp>
    <xdr:clientData/>
  </xdr:twoCellAnchor>
  <xdr:twoCellAnchor editAs="oneCell">
    <xdr:from>
      <xdr:col>8</xdr:col>
      <xdr:colOff>597267</xdr:colOff>
      <xdr:row>8</xdr:row>
      <xdr:rowOff>19050</xdr:rowOff>
    </xdr:from>
    <xdr:to>
      <xdr:col>11</xdr:col>
      <xdr:colOff>39773</xdr:colOff>
      <xdr:row>15</xdr:row>
      <xdr:rowOff>133350</xdr:rowOff>
    </xdr:to>
    <xdr:sp macro="" textlink="">
      <xdr:nvSpPr>
        <xdr:cNvPr id="15" name="Arc 14">
          <a:extLst>
            <a:ext uri="{FF2B5EF4-FFF2-40B4-BE49-F238E27FC236}">
              <a16:creationId xmlns:a16="http://schemas.microsoft.com/office/drawing/2014/main" id="{9F655D1A-6DA6-41A5-A003-F69D3C9E82E0}"/>
            </a:ext>
          </a:extLst>
        </xdr:cNvPr>
        <xdr:cNvSpPr/>
      </xdr:nvSpPr>
      <xdr:spPr>
        <a:xfrm flipH="1">
          <a:off x="5438208" y="1352550"/>
          <a:ext cx="1257859" cy="1447800"/>
        </a:xfrm>
        <a:prstGeom prst="arc">
          <a:avLst>
            <a:gd name="adj1" fmla="val 16200000"/>
            <a:gd name="adj2" fmla="val 455399"/>
          </a:avLst>
        </a:prstGeom>
        <a:ln>
          <a:headEnd type="none"/>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solidFill>
              <a:sysClr val="windowText" lastClr="000000"/>
            </a:solidFill>
          </a:endParaRPr>
        </a:p>
      </xdr:txBody>
    </xdr:sp>
    <xdr:clientData/>
  </xdr:twoCellAnchor>
  <xdr:twoCellAnchor editAs="oneCell">
    <xdr:from>
      <xdr:col>5</xdr:col>
      <xdr:colOff>179288</xdr:colOff>
      <xdr:row>6</xdr:row>
      <xdr:rowOff>33618</xdr:rowOff>
    </xdr:from>
    <xdr:to>
      <xdr:col>9</xdr:col>
      <xdr:colOff>43697</xdr:colOff>
      <xdr:row>12</xdr:row>
      <xdr:rowOff>123265</xdr:rowOff>
    </xdr:to>
    <xdr:sp macro="" textlink="">
      <xdr:nvSpPr>
        <xdr:cNvPr id="16" name="TextBox 15">
          <a:extLst>
            <a:ext uri="{FF2B5EF4-FFF2-40B4-BE49-F238E27FC236}">
              <a16:creationId xmlns:a16="http://schemas.microsoft.com/office/drawing/2014/main" id="{36D473CB-16F2-4977-B812-22AADD9D704C}"/>
            </a:ext>
          </a:extLst>
        </xdr:cNvPr>
        <xdr:cNvSpPr txBox="1"/>
      </xdr:nvSpPr>
      <xdr:spPr>
        <a:xfrm>
          <a:off x="3204876" y="986118"/>
          <a:ext cx="2284880" cy="12326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r>
            <a:rPr lang="en-US" sz="1100">
              <a:solidFill>
                <a:sysClr val="windowText" lastClr="000000"/>
              </a:solidFill>
            </a:rPr>
            <a:t>Target !=0</a:t>
          </a:r>
        </a:p>
        <a:p>
          <a:pPr algn="r"/>
          <a:r>
            <a:rPr lang="en-US" sz="1100" u="sng" baseline="0">
              <a:solidFill>
                <a:sysClr val="windowText" lastClr="000000"/>
              </a:solidFill>
            </a:rPr>
            <a:t>AND(</a:t>
          </a:r>
        </a:p>
        <a:p>
          <a:pPr algn="r"/>
          <a:r>
            <a:rPr lang="en-US" sz="1100" baseline="0">
              <a:solidFill>
                <a:sysClr val="windowText" lastClr="000000"/>
              </a:solidFill>
            </a:rPr>
            <a:t>  DirPrev ==Dir </a:t>
          </a:r>
          <a:r>
            <a:rPr lang="en-US" sz="1100" u="sng" baseline="0">
              <a:solidFill>
                <a:sysClr val="windowText" lastClr="000000"/>
              </a:solidFill>
            </a:rPr>
            <a:t>OR</a:t>
          </a:r>
        </a:p>
        <a:p>
          <a:pPr marL="0" marR="0" lvl="0" indent="0" algn="r" defTabSz="914400" eaLnBrk="1" fontAlgn="auto" latinLnBrk="0" hangingPunct="1">
            <a:lnSpc>
              <a:spcPct val="100000"/>
            </a:lnSpc>
            <a:spcBef>
              <a:spcPts val="0"/>
            </a:spcBef>
            <a:spcAft>
              <a:spcPts val="0"/>
            </a:spcAft>
            <a:buClrTx/>
            <a:buSzTx/>
            <a:buFontTx/>
            <a:buNone/>
            <a:tabLst/>
            <a:defRPr/>
          </a:pPr>
          <a:r>
            <a:rPr lang="en-US" sz="1100" baseline="0">
              <a:solidFill>
                <a:schemeClr val="tx1"/>
              </a:solidFill>
              <a:effectLst/>
              <a:latin typeface="+mn-lt"/>
              <a:ea typeface="+mn-ea"/>
              <a:cs typeface="+mn-cs"/>
            </a:rPr>
            <a:t>  isDebounced</a:t>
          </a:r>
          <a:r>
            <a:rPr lang="en-US" sz="1100">
              <a:solidFill>
                <a:schemeClr val="tx1"/>
              </a:solidFill>
              <a:effectLst/>
              <a:latin typeface="+mn-lt"/>
              <a:ea typeface="+mn-ea"/>
              <a:cs typeface="+mn-cs"/>
            </a:rPr>
            <a:t>(</a:t>
          </a:r>
          <a:r>
            <a:rPr lang="en-US" sz="1100" baseline="0">
              <a:solidFill>
                <a:sysClr val="windowText" lastClr="000000"/>
              </a:solidFill>
            </a:rPr>
            <a:t>MaxBrake isReached)</a:t>
          </a:r>
        </a:p>
        <a:p>
          <a:pPr algn="r"/>
          <a:r>
            <a:rPr lang="en-US" sz="1100" baseline="0">
              <a:solidFill>
                <a:sysClr val="windowText" lastClr="000000"/>
              </a:solidFill>
            </a:rPr>
            <a:t>)</a:t>
          </a:r>
          <a:endParaRPr lang="en-US" sz="1100">
            <a:solidFill>
              <a:sysClr val="windowText" lastClr="000000"/>
            </a:solidFill>
          </a:endParaRPr>
        </a:p>
      </xdr:txBody>
    </xdr:sp>
    <xdr:clientData/>
  </xdr:twoCellAnchor>
  <xdr:twoCellAnchor editAs="oneCell">
    <xdr:from>
      <xdr:col>13</xdr:col>
      <xdr:colOff>240080</xdr:colOff>
      <xdr:row>8</xdr:row>
      <xdr:rowOff>85725</xdr:rowOff>
    </xdr:from>
    <xdr:to>
      <xdr:col>15</xdr:col>
      <xdr:colOff>468679</xdr:colOff>
      <xdr:row>15</xdr:row>
      <xdr:rowOff>185737</xdr:rowOff>
    </xdr:to>
    <xdr:sp macro="" textlink="">
      <xdr:nvSpPr>
        <xdr:cNvPr id="17" name="Arc 16">
          <a:extLst>
            <a:ext uri="{FF2B5EF4-FFF2-40B4-BE49-F238E27FC236}">
              <a16:creationId xmlns:a16="http://schemas.microsoft.com/office/drawing/2014/main" id="{FDB6B8E9-9AD7-4071-AE47-38D27D05E606}"/>
            </a:ext>
          </a:extLst>
        </xdr:cNvPr>
        <xdr:cNvSpPr/>
      </xdr:nvSpPr>
      <xdr:spPr>
        <a:xfrm rot="5400000" flipH="1">
          <a:off x="8109271" y="1416563"/>
          <a:ext cx="1433512" cy="1438835"/>
        </a:xfrm>
        <a:prstGeom prst="arc">
          <a:avLst>
            <a:gd name="adj1" fmla="val 15839460"/>
            <a:gd name="adj2" fmla="val 20998908"/>
          </a:avLst>
        </a:prstGeom>
        <a:ln>
          <a:headEnd type="none"/>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solidFill>
              <a:sysClr val="windowText" lastClr="000000"/>
            </a:solidFill>
          </a:endParaRPr>
        </a:p>
      </xdr:txBody>
    </xdr:sp>
    <xdr:clientData/>
  </xdr:twoCellAnchor>
  <xdr:twoCellAnchor editAs="oneCell">
    <xdr:from>
      <xdr:col>15</xdr:col>
      <xdr:colOff>15121</xdr:colOff>
      <xdr:row>5</xdr:row>
      <xdr:rowOff>99731</xdr:rowOff>
    </xdr:from>
    <xdr:to>
      <xdr:col>19</xdr:col>
      <xdr:colOff>356902</xdr:colOff>
      <xdr:row>8</xdr:row>
      <xdr:rowOff>23532</xdr:rowOff>
    </xdr:to>
    <xdr:sp macro="" textlink="">
      <xdr:nvSpPr>
        <xdr:cNvPr id="18" name="TextBox 17">
          <a:extLst>
            <a:ext uri="{FF2B5EF4-FFF2-40B4-BE49-F238E27FC236}">
              <a16:creationId xmlns:a16="http://schemas.microsoft.com/office/drawing/2014/main" id="{9F2B44E4-1014-31CE-07BA-9A87ACECCE6D}"/>
            </a:ext>
          </a:extLst>
        </xdr:cNvPr>
        <xdr:cNvSpPr txBox="1"/>
      </xdr:nvSpPr>
      <xdr:spPr>
        <a:xfrm>
          <a:off x="9091886" y="861731"/>
          <a:ext cx="2762251" cy="685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rPr>
            <a:t>isDebounced(</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tx1"/>
              </a:solidFill>
              <a:effectLst/>
              <a:latin typeface="+mn-lt"/>
              <a:ea typeface="+mn-ea"/>
              <a:cs typeface="+mn-cs"/>
            </a:rPr>
            <a:t>Target</a:t>
          </a:r>
          <a:r>
            <a:rPr lang="en-US" sz="1100" baseline="0">
              <a:solidFill>
                <a:sysClr val="windowText" lastClr="000000"/>
              </a:solidFill>
            </a:rPr>
            <a:t> == O </a:t>
          </a:r>
          <a:r>
            <a:rPr lang="en-US" sz="1100" u="sng" baseline="0">
              <a:solidFill>
                <a:sysClr val="windowText" lastClr="000000"/>
              </a:solidFill>
            </a:rPr>
            <a:t>OR</a:t>
          </a:r>
          <a:r>
            <a:rPr lang="en-US" sz="1100" baseline="0">
              <a:solidFill>
                <a:sysClr val="windowText" lastClr="000000"/>
              </a:solidFill>
            </a:rPr>
            <a:t> in the opposite direction</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solidFill>
              <a:effectLst/>
              <a:latin typeface="+mn-lt"/>
              <a:ea typeface="+mn-ea"/>
              <a:cs typeface="+mn-cs"/>
            </a:rPr>
            <a:t>)</a:t>
          </a:r>
          <a:endParaRPr lang="en-US">
            <a:effectLst/>
          </a:endParaRPr>
        </a:p>
      </xdr:txBody>
    </xdr:sp>
    <xdr:clientData/>
  </xdr:twoCellAnchor>
  <xdr:twoCellAnchor editAs="oneCell">
    <xdr:from>
      <xdr:col>21</xdr:col>
      <xdr:colOff>201699</xdr:colOff>
      <xdr:row>1</xdr:row>
      <xdr:rowOff>0</xdr:rowOff>
    </xdr:from>
    <xdr:to>
      <xdr:col>28</xdr:col>
      <xdr:colOff>451137</xdr:colOff>
      <xdr:row>10</xdr:row>
      <xdr:rowOff>100853</xdr:rowOff>
    </xdr:to>
    <xdr:grpSp>
      <xdr:nvGrpSpPr>
        <xdr:cNvPr id="2" name="Group 1">
          <a:extLst>
            <a:ext uri="{FF2B5EF4-FFF2-40B4-BE49-F238E27FC236}">
              <a16:creationId xmlns:a16="http://schemas.microsoft.com/office/drawing/2014/main" id="{D4BEB414-E9D7-F795-14F7-BD088EA688EA}"/>
            </a:ext>
          </a:extLst>
        </xdr:cNvPr>
        <xdr:cNvGrpSpPr/>
      </xdr:nvGrpSpPr>
      <xdr:grpSpPr>
        <a:xfrm>
          <a:off x="17099049" y="581025"/>
          <a:ext cx="4516638" cy="2577353"/>
          <a:chOff x="0" y="57150"/>
          <a:chExt cx="4485261" cy="2407685"/>
        </a:xfrm>
      </xdr:grpSpPr>
      <xdr:cxnSp macro="">
        <xdr:nvCxnSpPr>
          <xdr:cNvPr id="3" name="Straight Arrow Connector 2">
            <a:extLst>
              <a:ext uri="{FF2B5EF4-FFF2-40B4-BE49-F238E27FC236}">
                <a16:creationId xmlns:a16="http://schemas.microsoft.com/office/drawing/2014/main" id="{0E16E414-3F8C-3F8C-B7AB-191CC321E078}"/>
              </a:ext>
            </a:extLst>
          </xdr:cNvPr>
          <xdr:cNvCxnSpPr/>
        </xdr:nvCxnSpPr>
        <xdr:spPr>
          <a:xfrm>
            <a:off x="948018" y="1228725"/>
            <a:ext cx="259192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Arrow Connector 3">
            <a:extLst>
              <a:ext uri="{FF2B5EF4-FFF2-40B4-BE49-F238E27FC236}">
                <a16:creationId xmlns:a16="http://schemas.microsoft.com/office/drawing/2014/main" id="{A73B7854-48CC-4B17-AF21-E5ED343B2639}"/>
              </a:ext>
            </a:extLst>
          </xdr:cNvPr>
          <xdr:cNvCxnSpPr/>
        </xdr:nvCxnSpPr>
        <xdr:spPr>
          <a:xfrm>
            <a:off x="2167778" y="266700"/>
            <a:ext cx="0" cy="196215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 name="TextBox 5">
            <a:extLst>
              <a:ext uri="{FF2B5EF4-FFF2-40B4-BE49-F238E27FC236}">
                <a16:creationId xmlns:a16="http://schemas.microsoft.com/office/drawing/2014/main" id="{2E617EDB-51A4-6C47-22A7-B7BD1803CC4A}"/>
              </a:ext>
            </a:extLst>
          </xdr:cNvPr>
          <xdr:cNvSpPr txBox="1"/>
        </xdr:nvSpPr>
        <xdr:spPr>
          <a:xfrm>
            <a:off x="1286435" y="714375"/>
            <a:ext cx="57458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ysClr val="windowText" lastClr="000000"/>
                </a:solidFill>
              </a:rPr>
              <a:t>BRAKE</a:t>
            </a:r>
          </a:p>
        </xdr:txBody>
      </xdr:sp>
      <xdr:sp macro="" textlink="">
        <xdr:nvSpPr>
          <xdr:cNvPr id="7" name="TextBox 6">
            <a:extLst>
              <a:ext uri="{FF2B5EF4-FFF2-40B4-BE49-F238E27FC236}">
                <a16:creationId xmlns:a16="http://schemas.microsoft.com/office/drawing/2014/main" id="{0EB506DD-7584-D54E-D751-9EB37ABFBD9F}"/>
              </a:ext>
            </a:extLst>
          </xdr:cNvPr>
          <xdr:cNvSpPr txBox="1"/>
        </xdr:nvSpPr>
        <xdr:spPr>
          <a:xfrm>
            <a:off x="2496671" y="1467970"/>
            <a:ext cx="57458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ysClr val="windowText" lastClr="000000"/>
                </a:solidFill>
              </a:rPr>
              <a:t>BRAKE</a:t>
            </a:r>
          </a:p>
        </xdr:txBody>
      </xdr:sp>
      <xdr:sp macro="" textlink="">
        <xdr:nvSpPr>
          <xdr:cNvPr id="8" name="Oval 7">
            <a:extLst>
              <a:ext uri="{FF2B5EF4-FFF2-40B4-BE49-F238E27FC236}">
                <a16:creationId xmlns:a16="http://schemas.microsoft.com/office/drawing/2014/main" id="{289704BC-9116-661D-9EF9-E64E83B4E110}"/>
              </a:ext>
            </a:extLst>
          </xdr:cNvPr>
          <xdr:cNvSpPr/>
        </xdr:nvSpPr>
        <xdr:spPr>
          <a:xfrm>
            <a:off x="2034428" y="1104900"/>
            <a:ext cx="266700" cy="2667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sp macro="" textlink="">
        <xdr:nvSpPr>
          <xdr:cNvPr id="9" name="Callout: Line 8">
            <a:extLst>
              <a:ext uri="{FF2B5EF4-FFF2-40B4-BE49-F238E27FC236}">
                <a16:creationId xmlns:a16="http://schemas.microsoft.com/office/drawing/2014/main" id="{5FAD715E-AA93-A51A-6CA8-C0948AE9FB4B}"/>
              </a:ext>
            </a:extLst>
          </xdr:cNvPr>
          <xdr:cNvSpPr/>
        </xdr:nvSpPr>
        <xdr:spPr>
          <a:xfrm>
            <a:off x="3668806" y="1476375"/>
            <a:ext cx="786093" cy="361950"/>
          </a:xfrm>
          <a:prstGeom prst="borderCallout1">
            <a:avLst>
              <a:gd name="adj1" fmla="val 50750"/>
              <a:gd name="adj2" fmla="val -747"/>
              <a:gd name="adj3" fmla="val -50026"/>
              <a:gd name="adj4" fmla="val -17545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STOP</a:t>
            </a:r>
          </a:p>
        </xdr:txBody>
      </xdr:sp>
      <xdr:sp macro="" textlink="">
        <xdr:nvSpPr>
          <xdr:cNvPr id="10" name="TextBox 9">
            <a:extLst>
              <a:ext uri="{FF2B5EF4-FFF2-40B4-BE49-F238E27FC236}">
                <a16:creationId xmlns:a16="http://schemas.microsoft.com/office/drawing/2014/main" id="{D51BB40D-E1A0-55B2-8A21-8972BCF979DA}"/>
              </a:ext>
            </a:extLst>
          </xdr:cNvPr>
          <xdr:cNvSpPr txBox="1"/>
        </xdr:nvSpPr>
        <xdr:spPr>
          <a:xfrm>
            <a:off x="2487146" y="733425"/>
            <a:ext cx="54290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ysClr val="windowText" lastClr="000000"/>
                </a:solidFill>
              </a:rPr>
              <a:t>DRIVE</a:t>
            </a:r>
          </a:p>
        </xdr:txBody>
      </xdr:sp>
      <xdr:sp macro="" textlink="">
        <xdr:nvSpPr>
          <xdr:cNvPr id="11" name="TextBox 10">
            <a:extLst>
              <a:ext uri="{FF2B5EF4-FFF2-40B4-BE49-F238E27FC236}">
                <a16:creationId xmlns:a16="http://schemas.microsoft.com/office/drawing/2014/main" id="{4C367E79-A3FB-5CF3-C721-B2D9CBE1DCDA}"/>
              </a:ext>
            </a:extLst>
          </xdr:cNvPr>
          <xdr:cNvSpPr txBox="1"/>
        </xdr:nvSpPr>
        <xdr:spPr>
          <a:xfrm>
            <a:off x="1305485" y="1495425"/>
            <a:ext cx="54290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ysClr val="windowText" lastClr="000000"/>
                </a:solidFill>
              </a:rPr>
              <a:t>DRIVE</a:t>
            </a:r>
          </a:p>
        </xdr:txBody>
      </xdr:sp>
      <xdr:sp macro="" textlink="">
        <xdr:nvSpPr>
          <xdr:cNvPr id="19" name="TextBox 18">
            <a:extLst>
              <a:ext uri="{FF2B5EF4-FFF2-40B4-BE49-F238E27FC236}">
                <a16:creationId xmlns:a16="http://schemas.microsoft.com/office/drawing/2014/main" id="{75F7730E-B42A-4D77-A39F-F39168DF9949}"/>
              </a:ext>
            </a:extLst>
          </xdr:cNvPr>
          <xdr:cNvSpPr txBox="1"/>
        </xdr:nvSpPr>
        <xdr:spPr>
          <a:xfrm>
            <a:off x="3539938" y="1095375"/>
            <a:ext cx="94532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ysClr val="windowText" lastClr="000000"/>
                </a:solidFill>
              </a:rPr>
              <a:t>Direction Pos</a:t>
            </a:r>
          </a:p>
        </xdr:txBody>
      </xdr:sp>
      <xdr:sp macro="" textlink="">
        <xdr:nvSpPr>
          <xdr:cNvPr id="20" name="TextBox 19">
            <a:extLst>
              <a:ext uri="{FF2B5EF4-FFF2-40B4-BE49-F238E27FC236}">
                <a16:creationId xmlns:a16="http://schemas.microsoft.com/office/drawing/2014/main" id="{D750F7FA-576A-9F43-4023-79EA9794B914}"/>
              </a:ext>
            </a:extLst>
          </xdr:cNvPr>
          <xdr:cNvSpPr txBox="1"/>
        </xdr:nvSpPr>
        <xdr:spPr>
          <a:xfrm>
            <a:off x="0" y="1104900"/>
            <a:ext cx="9705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ysClr val="windowText" lastClr="000000"/>
                </a:solidFill>
              </a:rPr>
              <a:t>Direction Neg</a:t>
            </a:r>
          </a:p>
        </xdr:txBody>
      </xdr:sp>
      <xdr:sp macro="" textlink="">
        <xdr:nvSpPr>
          <xdr:cNvPr id="21" name="TextBox 20">
            <a:extLst>
              <a:ext uri="{FF2B5EF4-FFF2-40B4-BE49-F238E27FC236}">
                <a16:creationId xmlns:a16="http://schemas.microsoft.com/office/drawing/2014/main" id="{16B5B61A-E4B5-4D6D-8038-12EFDC03BE27}"/>
              </a:ext>
            </a:extLst>
          </xdr:cNvPr>
          <xdr:cNvSpPr txBox="1"/>
        </xdr:nvSpPr>
        <xdr:spPr>
          <a:xfrm>
            <a:off x="1862978" y="57150"/>
            <a:ext cx="69422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ysClr val="windowText" lastClr="000000"/>
                </a:solidFill>
              </a:rPr>
              <a:t>Current+</a:t>
            </a:r>
          </a:p>
        </xdr:txBody>
      </xdr:sp>
      <xdr:sp macro="" textlink="">
        <xdr:nvSpPr>
          <xdr:cNvPr id="22" name="TextBox 21">
            <a:extLst>
              <a:ext uri="{FF2B5EF4-FFF2-40B4-BE49-F238E27FC236}">
                <a16:creationId xmlns:a16="http://schemas.microsoft.com/office/drawing/2014/main" id="{1D2A37C5-9F8B-4FC3-8ED7-5B30BF011D40}"/>
              </a:ext>
            </a:extLst>
          </xdr:cNvPr>
          <xdr:cNvSpPr txBox="1"/>
        </xdr:nvSpPr>
        <xdr:spPr>
          <a:xfrm>
            <a:off x="1815353" y="2200275"/>
            <a:ext cx="6671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ysClr val="windowText" lastClr="000000"/>
                </a:solidFill>
              </a:rPr>
              <a:t>Current-</a:t>
            </a:r>
          </a:p>
        </xdr:txBody>
      </xdr:sp>
    </xdr:grpSp>
    <xdr:clientData/>
  </xdr:twoCellAnchor>
  <xdr:twoCellAnchor editAs="oneCell">
    <xdr:from>
      <xdr:col>8</xdr:col>
      <xdr:colOff>444868</xdr:colOff>
      <xdr:row>30</xdr:row>
      <xdr:rowOff>66675</xdr:rowOff>
    </xdr:from>
    <xdr:to>
      <xdr:col>15</xdr:col>
      <xdr:colOff>511542</xdr:colOff>
      <xdr:row>39</xdr:row>
      <xdr:rowOff>78441</xdr:rowOff>
    </xdr:to>
    <xdr:sp macro="" textlink="">
      <xdr:nvSpPr>
        <xdr:cNvPr id="23" name="Rectangle: Rounded Corners 22">
          <a:extLst>
            <a:ext uri="{FF2B5EF4-FFF2-40B4-BE49-F238E27FC236}">
              <a16:creationId xmlns:a16="http://schemas.microsoft.com/office/drawing/2014/main" id="{4EAC7E70-EB1A-4D76-A0B4-52A993F386E4}"/>
            </a:ext>
          </a:extLst>
        </xdr:cNvPr>
        <xdr:cNvSpPr/>
      </xdr:nvSpPr>
      <xdr:spPr>
        <a:xfrm>
          <a:off x="5285809" y="5591175"/>
          <a:ext cx="4302498" cy="1726266"/>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BRAKE</a:t>
          </a:r>
        </a:p>
        <a:p>
          <a:pPr algn="l"/>
          <a:r>
            <a:rPr lang="en-US" sz="1100" baseline="0">
              <a:solidFill>
                <a:sysClr val="windowText" lastClr="000000"/>
              </a:solidFill>
            </a:rPr>
            <a:t>// "Increase Brake until VelReq achieved, Apply Brake @TBD% for TBDTime"</a:t>
          </a:r>
        </a:p>
        <a:p>
          <a:pPr algn="l"/>
          <a:r>
            <a:rPr lang="en-US" sz="1100" baseline="0">
              <a:solidFill>
                <a:sysClr val="windowText" lastClr="000000"/>
              </a:solidFill>
            </a:rPr>
            <a:t>Entry: PID =0;</a:t>
          </a:r>
        </a:p>
        <a:p>
          <a:pPr algn="l"/>
          <a:r>
            <a:rPr lang="en-US" sz="1100" baseline="0">
              <a:solidFill>
                <a:sysClr val="windowText" lastClr="000000"/>
              </a:solidFill>
            </a:rPr>
            <a:t>  PrevMotorState =MotorState; MotorState =Brake;</a:t>
          </a:r>
        </a:p>
        <a:p>
          <a:pPr algn="l"/>
          <a:r>
            <a:rPr lang="en-US" sz="1100" baseline="0">
              <a:solidFill>
                <a:sysClr val="windowText" lastClr="000000"/>
              </a:solidFill>
            </a:rPr>
            <a:t>  Brake +=BrakeAccel; // inc brake at each entry Limited to BrakeMax</a:t>
          </a:r>
        </a:p>
        <a:p>
          <a:pPr algn="l"/>
          <a:endParaRPr lang="en-US" sz="1100" baseline="0">
            <a:solidFill>
              <a:sysClr val="windowText" lastClr="000000"/>
            </a:solidFill>
          </a:endParaRPr>
        </a:p>
        <a:p>
          <a:pPr algn="l"/>
          <a:r>
            <a:rPr lang="en-US" sz="1100" baseline="0">
              <a:solidFill>
                <a:sysClr val="windowText" lastClr="000000"/>
              </a:solidFill>
            </a:rPr>
            <a:t>During:</a:t>
          </a:r>
        </a:p>
        <a:p>
          <a:pPr algn="l"/>
          <a:r>
            <a:rPr lang="en-US" sz="1100" baseline="0">
              <a:solidFill>
                <a:sysClr val="windowText" lastClr="000000"/>
              </a:solidFill>
            </a:rPr>
            <a:t>Set Brake at TBD &amp; hold for BrakeTime</a:t>
          </a:r>
        </a:p>
      </xdr:txBody>
    </xdr:sp>
    <xdr:clientData/>
  </xdr:twoCellAnchor>
  <xdr:twoCellAnchor editAs="oneCell">
    <xdr:from>
      <xdr:col>10</xdr:col>
      <xdr:colOff>597266</xdr:colOff>
      <xdr:row>25</xdr:row>
      <xdr:rowOff>28575</xdr:rowOff>
    </xdr:from>
    <xdr:to>
      <xdr:col>13</xdr:col>
      <xdr:colOff>349617</xdr:colOff>
      <xdr:row>32</xdr:row>
      <xdr:rowOff>142875</xdr:rowOff>
    </xdr:to>
    <xdr:sp macro="" textlink="">
      <xdr:nvSpPr>
        <xdr:cNvPr id="24" name="Arc 23">
          <a:extLst>
            <a:ext uri="{FF2B5EF4-FFF2-40B4-BE49-F238E27FC236}">
              <a16:creationId xmlns:a16="http://schemas.microsoft.com/office/drawing/2014/main" id="{A146D9C4-DB72-5906-DC7D-F2BD8CC07075}"/>
            </a:ext>
          </a:extLst>
        </xdr:cNvPr>
        <xdr:cNvSpPr/>
      </xdr:nvSpPr>
      <xdr:spPr>
        <a:xfrm flipH="1">
          <a:off x="6648442" y="4600575"/>
          <a:ext cx="1567704" cy="1447800"/>
        </a:xfrm>
        <a:prstGeom prst="arc">
          <a:avLst>
            <a:gd name="adj1" fmla="val 20168355"/>
            <a:gd name="adj2" fmla="val 1215818"/>
          </a:avLst>
        </a:prstGeom>
        <a:ln>
          <a:headEnd type="none"/>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solidFill>
              <a:sysClr val="windowText" lastClr="000000"/>
            </a:solidFill>
          </a:endParaRPr>
        </a:p>
      </xdr:txBody>
    </xdr:sp>
    <xdr:clientData/>
  </xdr:twoCellAnchor>
  <xdr:twoCellAnchor editAs="oneCell">
    <xdr:from>
      <xdr:col>10</xdr:col>
      <xdr:colOff>239798</xdr:colOff>
      <xdr:row>25</xdr:row>
      <xdr:rowOff>161925</xdr:rowOff>
    </xdr:from>
    <xdr:to>
      <xdr:col>12</xdr:col>
      <xdr:colOff>597266</xdr:colOff>
      <xdr:row>33</xdr:row>
      <xdr:rowOff>85725</xdr:rowOff>
    </xdr:to>
    <xdr:sp macro="" textlink="">
      <xdr:nvSpPr>
        <xdr:cNvPr id="25" name="Arc 24">
          <a:extLst>
            <a:ext uri="{FF2B5EF4-FFF2-40B4-BE49-F238E27FC236}">
              <a16:creationId xmlns:a16="http://schemas.microsoft.com/office/drawing/2014/main" id="{ABCAC063-E373-4AFE-A5F9-6F438DDB1EBB}"/>
            </a:ext>
          </a:extLst>
        </xdr:cNvPr>
        <xdr:cNvSpPr/>
      </xdr:nvSpPr>
      <xdr:spPr>
        <a:xfrm rot="9909411" flipH="1">
          <a:off x="6290974" y="4733925"/>
          <a:ext cx="1567704" cy="1447800"/>
        </a:xfrm>
        <a:prstGeom prst="arc">
          <a:avLst>
            <a:gd name="adj1" fmla="val 20168355"/>
            <a:gd name="adj2" fmla="val 1215818"/>
          </a:avLst>
        </a:prstGeom>
        <a:ln>
          <a:headEnd type="none"/>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solidFill>
              <a:sysClr val="windowText" lastClr="000000"/>
            </a:solidFill>
          </a:endParaRPr>
        </a:p>
      </xdr:txBody>
    </xdr:sp>
    <xdr:clientData/>
  </xdr:twoCellAnchor>
  <xdr:twoCellAnchor editAs="oneCell">
    <xdr:from>
      <xdr:col>8</xdr:col>
      <xdr:colOff>473443</xdr:colOff>
      <xdr:row>27</xdr:row>
      <xdr:rowOff>85725</xdr:rowOff>
    </xdr:from>
    <xdr:to>
      <xdr:col>11</xdr:col>
      <xdr:colOff>105890</xdr:colOff>
      <xdr:row>28</xdr:row>
      <xdr:rowOff>159785</xdr:rowOff>
    </xdr:to>
    <xdr:sp macro="" textlink="">
      <xdr:nvSpPr>
        <xdr:cNvPr id="26" name="TextBox 25">
          <a:extLst>
            <a:ext uri="{FF2B5EF4-FFF2-40B4-BE49-F238E27FC236}">
              <a16:creationId xmlns:a16="http://schemas.microsoft.com/office/drawing/2014/main" id="{A700FABE-4086-72E9-3601-5124D5847305}"/>
            </a:ext>
          </a:extLst>
        </xdr:cNvPr>
        <xdr:cNvSpPr txBox="1"/>
      </xdr:nvSpPr>
      <xdr:spPr>
        <a:xfrm>
          <a:off x="5314384" y="5038725"/>
          <a:ext cx="14478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solidFill>
                <a:sysClr val="windowText" lastClr="000000"/>
              </a:solidFill>
            </a:rPr>
            <a:t>Actual</a:t>
          </a:r>
          <a:r>
            <a:rPr lang="en-US" sz="1100" baseline="0">
              <a:solidFill>
                <a:sysClr val="windowText" lastClr="000000"/>
              </a:solidFill>
            </a:rPr>
            <a:t> &gt; Target +Tol</a:t>
          </a:r>
          <a:endParaRPr lang="en-US" sz="1100">
            <a:solidFill>
              <a:sysClr val="windowText" lastClr="000000"/>
            </a:solidFill>
          </a:endParaRPr>
        </a:p>
      </xdr:txBody>
    </xdr:sp>
    <xdr:clientData/>
  </xdr:twoCellAnchor>
  <xdr:twoCellAnchor editAs="oneCell">
    <xdr:from>
      <xdr:col>13</xdr:col>
      <xdr:colOff>30250</xdr:colOff>
      <xdr:row>27</xdr:row>
      <xdr:rowOff>57150</xdr:rowOff>
    </xdr:from>
    <xdr:to>
      <xdr:col>15</xdr:col>
      <xdr:colOff>10639</xdr:colOff>
      <xdr:row>29</xdr:row>
      <xdr:rowOff>112936</xdr:rowOff>
    </xdr:to>
    <xdr:sp macro="" textlink="">
      <xdr:nvSpPr>
        <xdr:cNvPr id="27" name="TextBox 26">
          <a:extLst>
            <a:ext uri="{FF2B5EF4-FFF2-40B4-BE49-F238E27FC236}">
              <a16:creationId xmlns:a16="http://schemas.microsoft.com/office/drawing/2014/main" id="{3B166C16-39F3-5C3E-63CB-D7F8A15EE49E}"/>
            </a:ext>
          </a:extLst>
        </xdr:cNvPr>
        <xdr:cNvSpPr txBox="1"/>
      </xdr:nvSpPr>
      <xdr:spPr>
        <a:xfrm>
          <a:off x="7896779" y="5010150"/>
          <a:ext cx="1190625"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solidFill>
                <a:sysClr val="windowText" lastClr="000000"/>
              </a:solidFill>
            </a:rPr>
            <a:t>Elapsed time &gt;=</a:t>
          </a:r>
          <a:r>
            <a:rPr lang="en-US" sz="1100" baseline="0">
              <a:solidFill>
                <a:schemeClr val="tx1"/>
              </a:solidFill>
              <a:effectLst/>
              <a:latin typeface="+mn-lt"/>
              <a:ea typeface="+mn-ea"/>
              <a:cs typeface="+mn-cs"/>
            </a:rPr>
            <a:t>BrakeTime</a:t>
          </a:r>
          <a:endParaRPr lang="en-US" sz="1100">
            <a:solidFill>
              <a:sysClr val="windowText" lastClr="000000"/>
            </a:solidFill>
          </a:endParaRPr>
        </a:p>
      </xdr:txBody>
    </xdr:sp>
    <xdr:clientData/>
  </xdr:twoCellAnchor>
  <xdr:twoCellAnchor editAs="oneCell">
    <xdr:from>
      <xdr:col>7</xdr:col>
      <xdr:colOff>540117</xdr:colOff>
      <xdr:row>12</xdr:row>
      <xdr:rowOff>95248</xdr:rowOff>
    </xdr:from>
    <xdr:to>
      <xdr:col>16</xdr:col>
      <xdr:colOff>349618</xdr:colOff>
      <xdr:row>40</xdr:row>
      <xdr:rowOff>44824</xdr:rowOff>
    </xdr:to>
    <xdr:sp macro="" textlink="">
      <xdr:nvSpPr>
        <xdr:cNvPr id="40" name="Rectangle: Rounded Corners 39">
          <a:extLst>
            <a:ext uri="{FF2B5EF4-FFF2-40B4-BE49-F238E27FC236}">
              <a16:creationId xmlns:a16="http://schemas.microsoft.com/office/drawing/2014/main" id="{E80F35A5-3B5B-4BA7-8D73-9F81CA95F6E6}"/>
            </a:ext>
          </a:extLst>
        </xdr:cNvPr>
        <xdr:cNvSpPr/>
      </xdr:nvSpPr>
      <xdr:spPr>
        <a:xfrm>
          <a:off x="4775941" y="2190748"/>
          <a:ext cx="5255559" cy="5283576"/>
        </a:xfrm>
        <a:prstGeom prst="roundRect">
          <a:avLst>
            <a:gd name="adj" fmla="val 5648"/>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ACTIVE</a:t>
          </a:r>
        </a:p>
        <a:p>
          <a:pPr algn="l"/>
          <a:r>
            <a:rPr lang="en-US" sz="1100" baseline="0">
              <a:solidFill>
                <a:sysClr val="windowText" lastClr="000000"/>
              </a:solidFill>
            </a:rPr>
            <a:t>// "PID Error Controlled on Speed OR Braking if overspeed"</a:t>
          </a:r>
        </a:p>
        <a:p>
          <a:pPr algn="l"/>
          <a:r>
            <a:rPr lang="en-US" sz="1100" baseline="0">
              <a:solidFill>
                <a:sysClr val="windowText" lastClr="000000"/>
              </a:solidFill>
            </a:rPr>
            <a:t>Entry: Dir =Sign(VelReq);</a:t>
          </a:r>
        </a:p>
        <a:p>
          <a:pPr algn="l"/>
          <a:endParaRPr lang="en-US" sz="1100">
            <a:solidFill>
              <a:sysClr val="windowText" lastClr="000000"/>
            </a:solidFill>
          </a:endParaRPr>
        </a:p>
      </xdr:txBody>
    </xdr:sp>
    <xdr:clientData/>
  </xdr:twoCellAnchor>
  <xdr:twoCellAnchor editAs="oneCell">
    <xdr:from>
      <xdr:col>9</xdr:col>
      <xdr:colOff>540116</xdr:colOff>
      <xdr:row>16</xdr:row>
      <xdr:rowOff>105334</xdr:rowOff>
    </xdr:from>
    <xdr:to>
      <xdr:col>11</xdr:col>
      <xdr:colOff>20724</xdr:colOff>
      <xdr:row>19</xdr:row>
      <xdr:rowOff>181534</xdr:rowOff>
    </xdr:to>
    <xdr:sp macro="" textlink="">
      <xdr:nvSpPr>
        <xdr:cNvPr id="41" name="Arc 40">
          <a:extLst>
            <a:ext uri="{FF2B5EF4-FFF2-40B4-BE49-F238E27FC236}">
              <a16:creationId xmlns:a16="http://schemas.microsoft.com/office/drawing/2014/main" id="{ED4ED1C2-CB30-449B-96A1-16CB0EC8904B}"/>
            </a:ext>
          </a:extLst>
        </xdr:cNvPr>
        <xdr:cNvSpPr/>
      </xdr:nvSpPr>
      <xdr:spPr>
        <a:xfrm>
          <a:off x="5986175" y="2962834"/>
          <a:ext cx="690843" cy="647700"/>
        </a:xfrm>
        <a:prstGeom prst="arc">
          <a:avLst>
            <a:gd name="adj1" fmla="val 16200000"/>
            <a:gd name="adj2" fmla="val 68746"/>
          </a:avLst>
        </a:prstGeom>
        <a:ln>
          <a:headEnd type="oval"/>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0</xdr:col>
      <xdr:colOff>68037</xdr:colOff>
      <xdr:row>0</xdr:row>
      <xdr:rowOff>81642</xdr:rowOff>
    </xdr:from>
    <xdr:to>
      <xdr:col>0</xdr:col>
      <xdr:colOff>503465</xdr:colOff>
      <xdr:row>0</xdr:row>
      <xdr:rowOff>489856</xdr:rowOff>
    </xdr:to>
    <xdr:sp macro="" textlink="">
      <xdr:nvSpPr>
        <xdr:cNvPr id="5" name="Arrow: Pentagon 4">
          <a:hlinkClick xmlns:r="http://schemas.openxmlformats.org/officeDocument/2006/relationships" r:id="rId1"/>
          <a:extLst>
            <a:ext uri="{FF2B5EF4-FFF2-40B4-BE49-F238E27FC236}">
              <a16:creationId xmlns:a16="http://schemas.microsoft.com/office/drawing/2014/main" id="{51337596-E060-4638-A82B-0CD61C37DAC6}"/>
            </a:ext>
          </a:extLst>
        </xdr:cNvPr>
        <xdr:cNvSpPr/>
      </xdr:nvSpPr>
      <xdr:spPr>
        <a:xfrm rot="16200000">
          <a:off x="81644" y="68035"/>
          <a:ext cx="408214" cy="435428"/>
        </a:xfrm>
        <a:prstGeom prst="homePlate">
          <a:avLst/>
        </a:prstGeom>
        <a:effectLst>
          <a:glow rad="63500">
            <a:schemeClr val="accent1">
              <a:satMod val="175000"/>
              <a:alpha val="40000"/>
            </a:schemeClr>
          </a:glo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68037</xdr:colOff>
      <xdr:row>0</xdr:row>
      <xdr:rowOff>81642</xdr:rowOff>
    </xdr:from>
    <xdr:to>
      <xdr:col>0</xdr:col>
      <xdr:colOff>503465</xdr:colOff>
      <xdr:row>0</xdr:row>
      <xdr:rowOff>489856</xdr:rowOff>
    </xdr:to>
    <xdr:sp macro="" textlink="">
      <xdr:nvSpPr>
        <xdr:cNvPr id="2" name="Arrow: Pentagon 1">
          <a:hlinkClick xmlns:r="http://schemas.openxmlformats.org/officeDocument/2006/relationships" r:id="rId1"/>
          <a:extLst>
            <a:ext uri="{FF2B5EF4-FFF2-40B4-BE49-F238E27FC236}">
              <a16:creationId xmlns:a16="http://schemas.microsoft.com/office/drawing/2014/main" id="{0D95640E-86D8-4E9A-9768-F2BDB3FB748A}"/>
            </a:ext>
          </a:extLst>
        </xdr:cNvPr>
        <xdr:cNvSpPr/>
      </xdr:nvSpPr>
      <xdr:spPr>
        <a:xfrm rot="16200000">
          <a:off x="81644" y="68035"/>
          <a:ext cx="408214" cy="435428"/>
        </a:xfrm>
        <a:prstGeom prst="homePlate">
          <a:avLst/>
        </a:prstGeom>
        <a:effectLst>
          <a:glow rad="63500">
            <a:schemeClr val="accent1">
              <a:satMod val="175000"/>
              <a:alpha val="40000"/>
            </a:schemeClr>
          </a:glo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90ACFD5-D2A8-4CD3-B685-693E2DA8B35B}" name="Table1" displayName="Table1" ref="A8:Q17" totalsRowShown="0" headerRowDxfId="75" dataDxfId="74">
  <autoFilter ref="A8:Q17" xr:uid="{790ACFD5-D2A8-4CD3-B685-693E2DA8B35B}"/>
  <tableColumns count="17">
    <tableColumn id="1" xr3:uid="{8674421B-9CCE-42B9-B726-470146EEAD10}" name="Req#" dataDxfId="73">
      <calculatedColumnFormula>$A$7&amp;":"&amp;Table1[[#This Row],[L1]]&amp;IF(ISNUMBER(Table1[[#This Row],[L2]]),"."&amp;Table1[[#This Row],[L2]],"")&amp;IF(ISNUMBER(Table1[[#This Row],[L3]]),"."&amp;Table1[[#This Row],[L3]],"")&amp;IF(ISNUMBER(Table1[[#This Row],[L4]]),"."&amp;Table1[[#This Row],[L4]],"")&amp;IF(ISNUMBER(Table1[[#This Row],[L5]]),"."&amp;Table1[[#This Row],[L5]],"")&amp;IF(ISNUMBER(Table1[[#This Row],[L6]]),"."&amp;Table1[[#This Row],[L6]],"")</calculatedColumnFormula>
    </tableColumn>
    <tableColumn id="19" xr3:uid="{9D1FE70A-21FC-4A81-9CBA-57EBE37EF3D0}" name="Priority" dataDxfId="72"/>
    <tableColumn id="2" xr3:uid="{A3568B5C-DB58-4F11-A2B8-A2655FE1D4CF}" name="Requirement" dataDxfId="71"/>
    <tableColumn id="3" xr3:uid="{EBBDC3E1-8C0F-4439-92A6-2BA4E5CD2A36}" name="Reason" dataDxfId="70"/>
    <tableColumn id="4" xr3:uid="{C2192A14-CF51-487A-BFC6-3701BF806755}" name="Category" dataDxfId="69"/>
    <tableColumn id="9" xr3:uid="{FE55BFCE-76F3-4BD4-A597-B544B41748CF}" name="Status" dataDxfId="68"/>
    <tableColumn id="10" xr3:uid="{C2DF750A-8BF6-4D2A-A461-1B2EE408DDBB}" name="Comments" dataDxfId="67"/>
    <tableColumn id="7" xr3:uid="{83ABD35E-93F3-4FE1-9AB6-E668DDFFB551}" name="Func#" dataDxfId="66"/>
    <tableColumn id="8" xr3:uid="{5DF0715C-86C9-445E-A1AD-FFC7C6A25E81}" name="Test Cases" dataDxfId="65"/>
    <tableColumn id="11" xr3:uid="{0055D444-F14B-41DC-833D-42D46117ECB7}" name="L1" dataDxfId="64">
      <calculatedColumnFormula array="1">IF( OutlineLevel&lt;VALUE(RIGHT(J$8,1)), "",  IF( ISNUMBER(OFFSET(J9,-1,0)), OFFSET(J9,-1,0)+IF(OutlineLevel=VALUE(RIGHT(J$8,1)),1,0),1) )</calculatedColumnFormula>
    </tableColumn>
    <tableColumn id="12" xr3:uid="{E90A2CB2-8CBB-4773-817A-4B7C2A6A8244}" name="L2" dataDxfId="63">
      <calculatedColumnFormula array="1">IF( OutlineLevel&lt;VALUE(RIGHT(K$8,1)), "",  IF( ISNUMBER(OFFSET(K9,-1,0)), OFFSET(K9,-1,0)+IF(OutlineLevel=VALUE(RIGHT(K$8,1)),1,0),1) )</calculatedColumnFormula>
    </tableColumn>
    <tableColumn id="13" xr3:uid="{D5768DD0-658D-4663-8189-09B3679AE46D}" name="L3" dataDxfId="62">
      <calculatedColumnFormula array="1">IF( OutlineLevel&lt;VALUE(RIGHT(L$8,1)), "",  IF( ISNUMBER(OFFSET(L9,-1,0)), OFFSET(L9,-1,0)+IF(OutlineLevel=VALUE(RIGHT(L$8,1)),1,0),1) )</calculatedColumnFormula>
    </tableColumn>
    <tableColumn id="17" xr3:uid="{83826750-C986-43BC-9827-71A819EC04FE}" name="L4" dataDxfId="61">
      <calculatedColumnFormula array="1">IF( OutlineLevel&lt;VALUE(RIGHT(M$8,1)), "",  IF( ISNUMBER(OFFSET(M9,-1,0)), OFFSET(M9,-1,0)+IF(OutlineLevel=VALUE(RIGHT(M$8,1)),1,0),1) )</calculatedColumnFormula>
    </tableColumn>
    <tableColumn id="18" xr3:uid="{3669053F-25AA-4C83-A0B3-73F5ADC2AC7B}" name="L5" dataDxfId="60">
      <calculatedColumnFormula array="1">IF( OutlineLevel&lt;VALUE(RIGHT(N$8,1)), "",  IF( ISNUMBER(OFFSET(N9,-1,0)), OFFSET(N9,-1,0)+IF(OutlineLevel=VALUE(RIGHT(N$8,1)),1,0),1) )</calculatedColumnFormula>
    </tableColumn>
    <tableColumn id="14" xr3:uid="{D0EA421B-A141-41AD-904E-B2889D025276}" name="L6" dataDxfId="59">
      <calculatedColumnFormula array="1">IF( OutlineLevel&lt;VALUE(RIGHT(O$8,1)), "",  IF( ISNUMBER(OFFSET(O9,-1,0)), OFFSET(O9,-1,0)+IF(OutlineLevel=VALUE(RIGHT(O$8,1)),1,0),1) )</calculatedColumnFormula>
    </tableColumn>
    <tableColumn id="15" xr3:uid="{A3A5CCA8-E5D2-4348-B4AF-9A40710DFB87}" name="isGroup" dataDxfId="58">
      <calculatedColumnFormula>Table1[[#This Row],[Level]]&lt;OFFSET(P9,1,1)</calculatedColumnFormula>
    </tableColumn>
    <tableColumn id="16" xr3:uid="{A046F821-2967-469B-A8E7-41EAD940C853}" name="Level" dataDxfId="57">
      <calculatedColumnFormula array="1">OutlineLevel</calculatedColumnFormula>
    </tableColumn>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336BFD-F1C5-425F-A479-E4387CF15B17}" name="Table2" displayName="Table2" ref="F1:H6" totalsRowShown="0" headerRowDxfId="56" dataDxfId="55">
  <autoFilter ref="F1:H6" xr:uid="{80336BFD-F1C5-425F-A479-E4387CF15B17}"/>
  <tableColumns count="3">
    <tableColumn id="1" xr3:uid="{6D030546-8FB1-4437-88D3-D5B8C3C08322}" name="Priority" dataDxfId="54"/>
    <tableColumn id="2" xr3:uid="{5BF53730-4138-414E-90A4-A2B5BCF42C6C}" name="Category" dataDxfId="53"/>
    <tableColumn id="3" xr3:uid="{BFA57457-9186-47A0-826A-FC765D3D9969}" name="Status" dataDxfId="5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5EB1E48-573C-46CF-8754-0D40D021D295}" name="Table14" displayName="Table14" ref="A8:Q55" totalsRowShown="0" headerRowDxfId="51" dataDxfId="50">
  <autoFilter ref="A8:Q55" xr:uid="{790ACFD5-D2A8-4CD3-B685-693E2DA8B35B}"/>
  <tableColumns count="17">
    <tableColumn id="1" xr3:uid="{A15188D8-8C49-4035-8C3B-E7BC46847716}" name="Req#" dataDxfId="49">
      <calculatedColumnFormula>$A$7&amp;":"&amp;Table14[[#This Row],[L1]]&amp;IF(ISNUMBER(Table14[[#This Row],[L2]]),"."&amp;Table14[[#This Row],[L2]],"")&amp;IF(ISNUMBER(Table14[[#This Row],[L3]]),"."&amp;Table14[[#This Row],[L3]],"")&amp;IF(ISNUMBER(Table14[[#This Row],[L4]]),"."&amp;Table14[[#This Row],[L4]],"")&amp;IF(ISNUMBER(Table14[[#This Row],[L5]]),"."&amp;Table14[[#This Row],[L5]],"")&amp;IF(ISNUMBER(Table14[[#This Row],[L6]]),"."&amp;Table14[[#This Row],[L6]],"")</calculatedColumnFormula>
    </tableColumn>
    <tableColumn id="19" xr3:uid="{ECF7260D-45F1-44E6-8D6A-522FC6767324}" name="Priority" dataDxfId="48"/>
    <tableColumn id="2" xr3:uid="{F213CD8A-14FF-4195-8B60-43D712ED89A2}" name="Requirement" dataDxfId="47"/>
    <tableColumn id="3" xr3:uid="{9E3BC21D-38B7-4F5C-9FA9-600741B96A7D}" name="Reason" dataDxfId="46"/>
    <tableColumn id="4" xr3:uid="{1C0A9EBF-D0A0-491E-9C68-4A1C0D56511C}" name="Category" dataDxfId="45"/>
    <tableColumn id="9" xr3:uid="{D8E27AF3-CACD-45B1-91CE-23950071E915}" name="Status" dataDxfId="44"/>
    <tableColumn id="10" xr3:uid="{1F2E44B3-AA54-4A00-AAA7-BF830BE6EA94}" name="Comments" dataDxfId="43"/>
    <tableColumn id="7" xr3:uid="{817012F0-8DF9-4032-8661-4B669BA975F9}" name="Func#" dataDxfId="42"/>
    <tableColumn id="8" xr3:uid="{56D511D2-3E56-4442-B71C-FF269384BFDD}" name="Test Cases" dataDxfId="41"/>
    <tableColumn id="11" xr3:uid="{51D85EAE-CC25-4A3D-BF39-3D3A1A9CC97D}" name="L1" dataDxfId="40">
      <calculatedColumnFormula array="1">IF( OutlineLevel&lt;VALUE(RIGHT(J$8,1)), "",  IF( ISNUMBER(OFFSET(J9,-1,0)), OFFSET(J9,-1,0)+IF(OutlineLevel=VALUE(RIGHT(J$8,1)),1,0),1) )</calculatedColumnFormula>
    </tableColumn>
    <tableColumn id="12" xr3:uid="{E11E8031-F518-4A0C-A42D-37BB890F3225}" name="L2" dataDxfId="39">
      <calculatedColumnFormula array="1">IF( OutlineLevel&lt;VALUE(RIGHT(K$8,1)), "",  IF( ISNUMBER(OFFSET(K9,-1,0)), OFFSET(K9,-1,0)+IF(OutlineLevel=VALUE(RIGHT(K$8,1)),1,0),1) )</calculatedColumnFormula>
    </tableColumn>
    <tableColumn id="13" xr3:uid="{606C573A-F632-436C-9566-B227F7DE8D1F}" name="L3" dataDxfId="38">
      <calculatedColumnFormula array="1">IF( OutlineLevel&lt;VALUE(RIGHT(L$8,1)), "",  IF( ISNUMBER(OFFSET(L9,-1,0)), OFFSET(L9,-1,0)+IF(OutlineLevel=VALUE(RIGHT(L$8,1)),1,0),1) )</calculatedColumnFormula>
    </tableColumn>
    <tableColumn id="17" xr3:uid="{D9013C32-283C-4846-8F95-6BB5ED0EB006}" name="L4" dataDxfId="37">
      <calculatedColumnFormula array="1">IF( OutlineLevel&lt;VALUE(RIGHT(M$8,1)), "",  IF( ISNUMBER(OFFSET(M9,-1,0)), OFFSET(M9,-1,0)+IF(OutlineLevel=VALUE(RIGHT(M$8,1)),1,0),1) )</calculatedColumnFormula>
    </tableColumn>
    <tableColumn id="18" xr3:uid="{2CE4E7C5-D010-4F9B-ADE6-B2C639AC996B}" name="L5" dataDxfId="36">
      <calculatedColumnFormula array="1">IF( OutlineLevel&lt;VALUE(RIGHT(N$8,1)), "",  IF( ISNUMBER(OFFSET(N9,-1,0)), OFFSET(N9,-1,0)+IF(OutlineLevel=VALUE(RIGHT(N$8,1)),1,0),1) )</calculatedColumnFormula>
    </tableColumn>
    <tableColumn id="14" xr3:uid="{BB79CF10-2A4C-4BF8-A41F-6541D071C770}" name="L6" dataDxfId="35">
      <calculatedColumnFormula array="1">IF( OutlineLevel&lt;VALUE(RIGHT(O$8,1)), "",  IF( ISNUMBER(OFFSET(O9,-1,0)), OFFSET(O9,-1,0)+IF(OutlineLevel=VALUE(RIGHT(O$8,1)),1,0),1) )</calculatedColumnFormula>
    </tableColumn>
    <tableColumn id="15" xr3:uid="{14DE6BF2-3770-4DA6-A298-3901714DC96C}" name="isGroup" dataDxfId="34">
      <calculatedColumnFormula>Table14[[#This Row],[Level]]&lt;OFFSET(P9,1,1)</calculatedColumnFormula>
    </tableColumn>
    <tableColumn id="16" xr3:uid="{4F1AB28B-9CA5-4339-BCE3-3473AF932D46}" name="Level" dataDxfId="33">
      <calculatedColumnFormula array="1">OutlineLevel</calculatedColumnFormula>
    </tableColumn>
  </tableColumns>
  <tableStyleInfo name="TableStyleLight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3C475AA-87DB-43C7-9717-514CF521D1B0}" name="Table25" displayName="Table25" ref="F1:H6" totalsRowShown="0" headerRowDxfId="32" dataDxfId="31">
  <autoFilter ref="F1:H6" xr:uid="{80336BFD-F1C5-425F-A479-E4387CF15B17}"/>
  <tableColumns count="3">
    <tableColumn id="1" xr3:uid="{8D31E46A-7686-483A-8CF4-34C94F9EB23D}" name="Priority" dataDxfId="30"/>
    <tableColumn id="2" xr3:uid="{B9260D54-767B-4076-9156-E1FC1D483669}" name="Category" dataDxfId="29"/>
    <tableColumn id="3" xr3:uid="{CCAABBB8-25A0-4C69-A725-F5E505509B3C}" name="Status" dataDxfId="28"/>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prolaborate.int.srcinc.com/5fOvH"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EA2D3-7BC8-45F5-9F3E-8BBF7FFBE6E1}">
  <sheetPr codeName="Sheet1">
    <outlinePr summaryBelow="0"/>
    <pageSetUpPr fitToPage="1"/>
  </sheetPr>
  <dimension ref="A1:Q17"/>
  <sheetViews>
    <sheetView workbookViewId="0">
      <selection activeCell="C7" sqref="C7"/>
    </sheetView>
  </sheetViews>
  <sheetFormatPr defaultRowHeight="15" outlineLevelRow="2" outlineLevelCol="1" x14ac:dyDescent="0.25"/>
  <cols>
    <col min="1" max="1" width="12" style="2" customWidth="1"/>
    <col min="2" max="2" width="8.28515625" style="2" customWidth="1"/>
    <col min="3" max="3" width="38.28515625" style="2" customWidth="1"/>
    <col min="4" max="4" width="39.85546875" style="2" customWidth="1"/>
    <col min="5" max="5" width="15.28515625" style="2" customWidth="1"/>
    <col min="6" max="6" width="16.42578125" style="2" customWidth="1"/>
    <col min="7" max="7" width="30" style="2" customWidth="1"/>
    <col min="8" max="8" width="18.42578125" style="2" bestFit="1" customWidth="1"/>
    <col min="9" max="9" width="22.28515625" style="2" customWidth="1" collapsed="1"/>
    <col min="10" max="15" width="6" style="2" hidden="1" customWidth="1" outlineLevel="1"/>
    <col min="16" max="16" width="10.28515625" style="2" hidden="1" customWidth="1" outlineLevel="1"/>
    <col min="17" max="17" width="8.28515625" style="2" customWidth="1" collapsed="1"/>
    <col min="18" max="18" width="1.7109375" style="2" customWidth="1"/>
    <col min="19" max="16384" width="9.140625" style="2"/>
  </cols>
  <sheetData>
    <row r="1" spans="1:17" ht="28.5" x14ac:dyDescent="0.25">
      <c r="A1" s="1" t="s">
        <v>2</v>
      </c>
      <c r="F1" s="2" t="s">
        <v>53</v>
      </c>
      <c r="G1" s="2" t="s">
        <v>23</v>
      </c>
      <c r="H1" s="2" t="s">
        <v>6</v>
      </c>
    </row>
    <row r="2" spans="1:17" x14ac:dyDescent="0.25">
      <c r="A2" s="22" t="s">
        <v>0</v>
      </c>
      <c r="B2" s="23"/>
      <c r="C2" s="22" t="s">
        <v>1</v>
      </c>
      <c r="D2" s="23"/>
      <c r="F2" s="2" t="s">
        <v>24</v>
      </c>
      <c r="G2" s="2" t="s">
        <v>49</v>
      </c>
      <c r="H2" s="2" t="s">
        <v>31</v>
      </c>
    </row>
    <row r="3" spans="1:17" x14ac:dyDescent="0.25">
      <c r="A3" s="20" t="s">
        <v>8</v>
      </c>
      <c r="B3" s="21"/>
      <c r="C3" s="20" t="s">
        <v>46</v>
      </c>
      <c r="D3" s="21"/>
      <c r="F3" s="2" t="s">
        <v>25</v>
      </c>
      <c r="G3" s="2" t="s">
        <v>22</v>
      </c>
      <c r="H3" s="2" t="s">
        <v>33</v>
      </c>
    </row>
    <row r="4" spans="1:17" x14ac:dyDescent="0.25">
      <c r="A4" s="22" t="s">
        <v>3</v>
      </c>
      <c r="B4" s="23"/>
      <c r="C4" s="22" t="s">
        <v>4</v>
      </c>
      <c r="D4" s="23"/>
      <c r="F4" s="2" t="s">
        <v>26</v>
      </c>
      <c r="G4" s="2" t="s">
        <v>21</v>
      </c>
      <c r="H4" s="2" t="s">
        <v>34</v>
      </c>
    </row>
    <row r="5" spans="1:17" x14ac:dyDescent="0.25">
      <c r="A5" s="20"/>
      <c r="B5" s="21"/>
      <c r="C5" s="24">
        <v>45345</v>
      </c>
      <c r="D5" s="25"/>
      <c r="F5" s="2" t="s">
        <v>35</v>
      </c>
      <c r="G5" s="2" t="s">
        <v>19</v>
      </c>
      <c r="H5" s="2" t="s">
        <v>32</v>
      </c>
    </row>
    <row r="6" spans="1:17" x14ac:dyDescent="0.25">
      <c r="F6" s="2" t="s">
        <v>36</v>
      </c>
      <c r="J6" s="3"/>
      <c r="K6" s="3"/>
      <c r="L6" s="3"/>
      <c r="M6" s="3"/>
      <c r="N6" s="3"/>
      <c r="O6" s="3"/>
    </row>
    <row r="7" spans="1:17" ht="21" x14ac:dyDescent="0.25">
      <c r="A7" s="10" t="s">
        <v>54</v>
      </c>
      <c r="J7" s="3"/>
      <c r="K7" s="3"/>
      <c r="L7" s="3"/>
      <c r="M7" s="3"/>
      <c r="N7" s="3"/>
      <c r="O7" s="3"/>
    </row>
    <row r="8" spans="1:17" ht="15.75" x14ac:dyDescent="0.25">
      <c r="A8" s="5" t="s">
        <v>13</v>
      </c>
      <c r="B8" s="6" t="s">
        <v>53</v>
      </c>
      <c r="C8" s="5" t="s">
        <v>17</v>
      </c>
      <c r="D8" s="5" t="s">
        <v>18</v>
      </c>
      <c r="E8" s="5" t="s">
        <v>23</v>
      </c>
      <c r="F8" s="5" t="s">
        <v>6</v>
      </c>
      <c r="G8" s="5" t="s">
        <v>7</v>
      </c>
      <c r="H8" s="5" t="s">
        <v>45</v>
      </c>
      <c r="I8" s="5" t="s">
        <v>5</v>
      </c>
      <c r="J8" s="6" t="s">
        <v>9</v>
      </c>
      <c r="K8" s="6" t="s">
        <v>10</v>
      </c>
      <c r="L8" s="6" t="s">
        <v>11</v>
      </c>
      <c r="M8" s="6" t="s">
        <v>12</v>
      </c>
      <c r="N8" s="6" t="s">
        <v>15</v>
      </c>
      <c r="O8" s="6" t="s">
        <v>16</v>
      </c>
      <c r="P8" s="5" t="s">
        <v>14</v>
      </c>
      <c r="Q8" s="9" t="s">
        <v>27</v>
      </c>
    </row>
    <row r="9" spans="1:17" x14ac:dyDescent="0.25">
      <c r="A9" s="2" t="str">
        <f ca="1">$A$7&amp;":"&amp;Table1[[#This Row],[L1]]&amp;IF(ISNUMBER(Table1[[#This Row],[L2]]),"."&amp;Table1[[#This Row],[L2]],"")&amp;IF(ISNUMBER(Table1[[#This Row],[L3]]),"."&amp;Table1[[#This Row],[L3]],"")&amp;IF(ISNUMBER(Table1[[#This Row],[L4]]),"."&amp;Table1[[#This Row],[L4]],"")&amp;IF(ISNUMBER(Table1[[#This Row],[L5]]),"."&amp;Table1[[#This Row],[L5]],"")&amp;IF(ISNUMBER(Table1[[#This Row],[L6]]),"."&amp;Table1[[#This Row],[L6]],"")</f>
        <v>USR:1</v>
      </c>
      <c r="B9" s="3" t="s">
        <v>35</v>
      </c>
      <c r="C9" s="4" t="s">
        <v>28</v>
      </c>
      <c r="D9" s="4" t="s">
        <v>29</v>
      </c>
      <c r="E9" s="7" t="s">
        <v>19</v>
      </c>
      <c r="F9" s="7"/>
      <c r="G9" s="4"/>
      <c r="H9" s="4"/>
      <c r="I9" s="4"/>
      <c r="J9" s="3" cm="1">
        <f t="array" aca="1" ref="J9" ca="1">IF( OutlineLevel&lt;VALUE(RIGHT(J$8,1)), "",  IF( ISNUMBER(OFFSET(J9,-1,0)), OFFSET(J9,-1,0)+IF(OutlineLevel=VALUE(RIGHT(J$8,1)),1,0),1) )</f>
        <v>1</v>
      </c>
      <c r="K9" s="3" t="str" cm="1">
        <f t="array" aca="1" ref="K9" ca="1">IF( OutlineLevel&lt;VALUE(RIGHT(K$8,1)), "",  IF( ISNUMBER(OFFSET(K9,-1,0)), OFFSET(K9,-1,0)+IF(OutlineLevel=VALUE(RIGHT(K$8,1)),1,0),1) )</f>
        <v/>
      </c>
      <c r="L9" s="3" t="str" cm="1">
        <f t="array" aca="1" ref="L9" ca="1">IF( OutlineLevel&lt;VALUE(RIGHT(L$8,1)), "",  IF( ISNUMBER(OFFSET(L9,-1,0)), OFFSET(L9,-1,0)+IF(OutlineLevel=VALUE(RIGHT(L$8,1)),1,0),1) )</f>
        <v/>
      </c>
      <c r="M9" s="3" t="str" cm="1">
        <f t="array" aca="1" ref="M9" ca="1">IF( OutlineLevel&lt;VALUE(RIGHT(M$8,1)), "",  IF( ISNUMBER(OFFSET(M9,-1,0)), OFFSET(M9,-1,0)+IF(OutlineLevel=VALUE(RIGHT(M$8,1)),1,0),1) )</f>
        <v/>
      </c>
      <c r="N9" s="3" t="str" cm="1">
        <f t="array" aca="1" ref="N9" ca="1">IF( OutlineLevel&lt;VALUE(RIGHT(N$8,1)), "",  IF( ISNUMBER(OFFSET(N9,-1,0)), OFFSET(N9,-1,0)+IF(OutlineLevel=VALUE(RIGHT(N$8,1)),1,0),1) )</f>
        <v/>
      </c>
      <c r="O9" s="3" t="str" cm="1">
        <f t="array" aca="1" ref="O9" ca="1">IF( OutlineLevel&lt;VALUE(RIGHT(O$8,1)), "",  IF( ISNUMBER(OFFSET(O9,-1,0)), OFFSET(O9,-1,0)+IF(OutlineLevel=VALUE(RIGHT(O$8,1)),1,0),1) )</f>
        <v/>
      </c>
      <c r="P9" s="3" t="b">
        <f ca="1">Table1[[#This Row],[Level]]&lt;OFFSET(P9,1,1)</f>
        <v>1</v>
      </c>
      <c r="Q9" s="3" cm="1">
        <f t="array" ref="Q9">OutlineLevel</f>
        <v>1</v>
      </c>
    </row>
    <row r="10" spans="1:17" ht="30" outlineLevel="1" x14ac:dyDescent="0.25">
      <c r="A10" s="2" t="str">
        <f ca="1">$A$7&amp;":"&amp;Table1[[#This Row],[L1]]&amp;IF(ISNUMBER(Table1[[#This Row],[L2]]),"."&amp;Table1[[#This Row],[L2]],"")&amp;IF(ISNUMBER(Table1[[#This Row],[L3]]),"."&amp;Table1[[#This Row],[L3]],"")&amp;IF(ISNUMBER(Table1[[#This Row],[L4]]),"."&amp;Table1[[#This Row],[L4]],"")&amp;IF(ISNUMBER(Table1[[#This Row],[L5]]),"."&amp;Table1[[#This Row],[L5]],"")&amp;IF(ISNUMBER(Table1[[#This Row],[L6]]),"."&amp;Table1[[#This Row],[L6]],"")</f>
        <v>USR:1.1</v>
      </c>
      <c r="B10" s="3" t="s">
        <v>24</v>
      </c>
      <c r="C10" s="4" t="s">
        <v>30</v>
      </c>
      <c r="D10" s="4" t="s">
        <v>154</v>
      </c>
      <c r="E10" s="7" t="s">
        <v>19</v>
      </c>
      <c r="F10" s="7" t="s">
        <v>34</v>
      </c>
      <c r="G10" s="4"/>
      <c r="H10" s="4"/>
      <c r="I10" s="4"/>
      <c r="J10" s="3" cm="1">
        <f t="array" aca="1" ref="J10" ca="1">IF( OutlineLevel&lt;VALUE(RIGHT(J$8,1)), "",  IF( ISNUMBER(OFFSET(J10,-1,0)), OFFSET(J10,-1,0)+IF(OutlineLevel=VALUE(RIGHT(J$8,1)),1,0),1) )</f>
        <v>1</v>
      </c>
      <c r="K10" s="3" cm="1">
        <f t="array" aca="1" ref="K10" ca="1">IF( OutlineLevel&lt;VALUE(RIGHT(K$8,1)), "",  IF( ISNUMBER(OFFSET(K10,-1,0)), OFFSET(K10,-1,0)+IF(OutlineLevel=VALUE(RIGHT(K$8,1)),1,0),1) )</f>
        <v>1</v>
      </c>
      <c r="L10" s="3" t="str" cm="1">
        <f t="array" aca="1" ref="L10" ca="1">IF( OutlineLevel&lt;VALUE(RIGHT(L$8,1)), "",  IF( ISNUMBER(OFFSET(L10,-1,0)), OFFSET(L10,-1,0)+IF(OutlineLevel=VALUE(RIGHT(L$8,1)),1,0),1) )</f>
        <v/>
      </c>
      <c r="M10" s="3" t="str" cm="1">
        <f t="array" aca="1" ref="M10" ca="1">IF( OutlineLevel&lt;VALUE(RIGHT(M$8,1)), "",  IF( ISNUMBER(OFFSET(M10,-1,0)), OFFSET(M10,-1,0)+IF(OutlineLevel=VALUE(RIGHT(M$8,1)),1,0),1) )</f>
        <v/>
      </c>
      <c r="N10" s="3" t="str" cm="1">
        <f t="array" aca="1" ref="N10" ca="1">IF( OutlineLevel&lt;VALUE(RIGHT(N$8,1)), "",  IF( ISNUMBER(OFFSET(N10,-1,0)), OFFSET(N10,-1,0)+IF(OutlineLevel=VALUE(RIGHT(N$8,1)),1,0),1) )</f>
        <v/>
      </c>
      <c r="O10" s="3" t="str" cm="1">
        <f t="array" aca="1" ref="O10" ca="1">IF( OutlineLevel&lt;VALUE(RIGHT(O$8,1)), "",  IF( ISNUMBER(OFFSET(O10,-1,0)), OFFSET(O10,-1,0)+IF(OutlineLevel=VALUE(RIGHT(O$8,1)),1,0),1) )</f>
        <v/>
      </c>
      <c r="P10" s="3" t="b">
        <f ca="1">Table1[[#This Row],[Level]]&lt;OFFSET(P10,1,1)</f>
        <v>1</v>
      </c>
      <c r="Q10" s="3" cm="1">
        <f t="array" ref="Q10">OutlineLevel</f>
        <v>2</v>
      </c>
    </row>
    <row r="11" spans="1:17" ht="30" outlineLevel="2" x14ac:dyDescent="0.25">
      <c r="A11" s="2" t="str">
        <f ca="1">$A$7&amp;":"&amp;Table1[[#This Row],[L1]]&amp;IF(ISNUMBER(Table1[[#This Row],[L2]]),"."&amp;Table1[[#This Row],[L2]],"")&amp;IF(ISNUMBER(Table1[[#This Row],[L3]]),"."&amp;Table1[[#This Row],[L3]],"")&amp;IF(ISNUMBER(Table1[[#This Row],[L4]]),"."&amp;Table1[[#This Row],[L4]],"")&amp;IF(ISNUMBER(Table1[[#This Row],[L5]]),"."&amp;Table1[[#This Row],[L5]],"")&amp;IF(ISNUMBER(Table1[[#This Row],[L6]]),"."&amp;Table1[[#This Row],[L6]],"")</f>
        <v>USR:1.1.1</v>
      </c>
      <c r="B11" s="3" t="s">
        <v>24</v>
      </c>
      <c r="C11" s="4" t="s">
        <v>43</v>
      </c>
      <c r="D11" s="4" t="s">
        <v>37</v>
      </c>
      <c r="E11" s="7" t="s">
        <v>19</v>
      </c>
      <c r="F11" s="7" t="s">
        <v>34</v>
      </c>
      <c r="G11" s="4"/>
      <c r="H11" s="4"/>
      <c r="I11" s="4"/>
      <c r="J11" s="3" cm="1">
        <f t="array" aca="1" ref="J11" ca="1">IF( OutlineLevel&lt;VALUE(RIGHT(J$8,1)), "",  IF( ISNUMBER(OFFSET(J11,-1,0)), OFFSET(J11,-1,0)+IF(OutlineLevel=VALUE(RIGHT(J$8,1)),1,0),1) )</f>
        <v>1</v>
      </c>
      <c r="K11" s="3" cm="1">
        <f t="array" aca="1" ref="K11" ca="1">IF( OutlineLevel&lt;VALUE(RIGHT(K$8,1)), "",  IF( ISNUMBER(OFFSET(K11,-1,0)), OFFSET(K11,-1,0)+IF(OutlineLevel=VALUE(RIGHT(K$8,1)),1,0),1) )</f>
        <v>1</v>
      </c>
      <c r="L11" s="3" cm="1">
        <f t="array" aca="1" ref="L11" ca="1">IF( OutlineLevel&lt;VALUE(RIGHT(L$8,1)), "",  IF( ISNUMBER(OFFSET(L11,-1,0)), OFFSET(L11,-1,0)+IF(OutlineLevel=VALUE(RIGHT(L$8,1)),1,0),1) )</f>
        <v>1</v>
      </c>
      <c r="M11" s="3" t="str" cm="1">
        <f t="array" aca="1" ref="M11" ca="1">IF( OutlineLevel&lt;VALUE(RIGHT(M$8,1)), "",  IF( ISNUMBER(OFFSET(M11,-1,0)), OFFSET(M11,-1,0)+IF(OutlineLevel=VALUE(RIGHT(M$8,1)),1,0),1) )</f>
        <v/>
      </c>
      <c r="N11" s="3" t="str" cm="1">
        <f t="array" aca="1" ref="N11" ca="1">IF( OutlineLevel&lt;VALUE(RIGHT(N$8,1)), "",  IF( ISNUMBER(OFFSET(N11,-1,0)), OFFSET(N11,-1,0)+IF(OutlineLevel=VALUE(RIGHT(N$8,1)),1,0),1) )</f>
        <v/>
      </c>
      <c r="O11" s="3" t="str" cm="1">
        <f t="array" aca="1" ref="O11" ca="1">IF( OutlineLevel&lt;VALUE(RIGHT(O$8,1)), "",  IF( ISNUMBER(OFFSET(O11,-1,0)), OFFSET(O11,-1,0)+IF(OutlineLevel=VALUE(RIGHT(O$8,1)),1,0),1) )</f>
        <v/>
      </c>
      <c r="P11" s="3" t="b">
        <f ca="1">Table1[[#This Row],[Level]]&lt;OFFSET(P11,1,1)</f>
        <v>0</v>
      </c>
      <c r="Q11" s="3" cm="1">
        <f t="array" ref="Q11">OutlineLevel</f>
        <v>3</v>
      </c>
    </row>
    <row r="12" spans="1:17" ht="45" outlineLevel="2" x14ac:dyDescent="0.25">
      <c r="A12" s="2" t="str">
        <f ca="1">$A$7&amp;":"&amp;Table1[[#This Row],[L1]]&amp;IF(ISNUMBER(Table1[[#This Row],[L2]]),"."&amp;Table1[[#This Row],[L2]],"")&amp;IF(ISNUMBER(Table1[[#This Row],[L3]]),"."&amp;Table1[[#This Row],[L3]],"")&amp;IF(ISNUMBER(Table1[[#This Row],[L4]]),"."&amp;Table1[[#This Row],[L4]],"")&amp;IF(ISNUMBER(Table1[[#This Row],[L5]]),"."&amp;Table1[[#This Row],[L5]],"")&amp;IF(ISNUMBER(Table1[[#This Row],[L6]]),"."&amp;Table1[[#This Row],[L6]],"")</f>
        <v>USR:1.1.2</v>
      </c>
      <c r="B12" s="3" t="s">
        <v>24</v>
      </c>
      <c r="C12" s="4" t="s">
        <v>47</v>
      </c>
      <c r="D12" s="4"/>
      <c r="E12" s="7" t="s">
        <v>19</v>
      </c>
      <c r="F12" s="7" t="s">
        <v>34</v>
      </c>
      <c r="G12" s="4" t="s">
        <v>44</v>
      </c>
      <c r="H12" s="4"/>
      <c r="I12" s="4"/>
      <c r="J12" s="3" cm="1">
        <f t="array" aca="1" ref="J12" ca="1">IF( OutlineLevel&lt;VALUE(RIGHT(J$8,1)), "",  IF( ISNUMBER(OFFSET(J12,-1,0)), OFFSET(J12,-1,0)+IF(OutlineLevel=VALUE(RIGHT(J$8,1)),1,0),1) )</f>
        <v>1</v>
      </c>
      <c r="K12" s="3" cm="1">
        <f t="array" aca="1" ref="K12" ca="1">IF( OutlineLevel&lt;VALUE(RIGHT(K$8,1)), "",  IF( ISNUMBER(OFFSET(K12,-1,0)), OFFSET(K12,-1,0)+IF(OutlineLevel=VALUE(RIGHT(K$8,1)),1,0),1) )</f>
        <v>1</v>
      </c>
      <c r="L12" s="3" cm="1">
        <f t="array" aca="1" ref="L12" ca="1">IF( OutlineLevel&lt;VALUE(RIGHT(L$8,1)), "",  IF( ISNUMBER(OFFSET(L12,-1,0)), OFFSET(L12,-1,0)+IF(OutlineLevel=VALUE(RIGHT(L$8,1)),1,0),1) )</f>
        <v>2</v>
      </c>
      <c r="M12" s="3" t="str" cm="1">
        <f t="array" aca="1" ref="M12" ca="1">IF( OutlineLevel&lt;VALUE(RIGHT(M$8,1)), "",  IF( ISNUMBER(OFFSET(M12,-1,0)), OFFSET(M12,-1,0)+IF(OutlineLevel=VALUE(RIGHT(M$8,1)),1,0),1) )</f>
        <v/>
      </c>
      <c r="N12" s="3" t="str" cm="1">
        <f t="array" aca="1" ref="N12" ca="1">IF( OutlineLevel&lt;VALUE(RIGHT(N$8,1)), "",  IF( ISNUMBER(OFFSET(N12,-1,0)), OFFSET(N12,-1,0)+IF(OutlineLevel=VALUE(RIGHT(N$8,1)),1,0),1) )</f>
        <v/>
      </c>
      <c r="O12" s="3" t="str" cm="1">
        <f t="array" aca="1" ref="O12" ca="1">IF( OutlineLevel&lt;VALUE(RIGHT(O$8,1)), "",  IF( ISNUMBER(OFFSET(O12,-1,0)), OFFSET(O12,-1,0)+IF(OutlineLevel=VALUE(RIGHT(O$8,1)),1,0),1) )</f>
        <v/>
      </c>
      <c r="P12" s="3" t="b">
        <f ca="1">Table1[[#This Row],[Level]]&lt;OFFSET(P12,1,1)</f>
        <v>0</v>
      </c>
      <c r="Q12" s="3" cm="1">
        <f t="array" ref="Q12">OutlineLevel</f>
        <v>3</v>
      </c>
    </row>
    <row r="13" spans="1:17" ht="30" outlineLevel="2" x14ac:dyDescent="0.25">
      <c r="A13" s="2" t="str">
        <f ca="1">$A$7&amp;":"&amp;Table1[[#This Row],[L1]]&amp;IF(ISNUMBER(Table1[[#This Row],[L2]]),"."&amp;Table1[[#This Row],[L2]],"")&amp;IF(ISNUMBER(Table1[[#This Row],[L3]]),"."&amp;Table1[[#This Row],[L3]],"")&amp;IF(ISNUMBER(Table1[[#This Row],[L4]]),"."&amp;Table1[[#This Row],[L4]],"")&amp;IF(ISNUMBER(Table1[[#This Row],[L5]]),"."&amp;Table1[[#This Row],[L5]],"")&amp;IF(ISNUMBER(Table1[[#This Row],[L6]]),"."&amp;Table1[[#This Row],[L6]],"")</f>
        <v>USR:1.1.3</v>
      </c>
      <c r="B13" s="3" t="s">
        <v>24</v>
      </c>
      <c r="C13" s="4" t="s">
        <v>50</v>
      </c>
      <c r="D13" s="4" t="s">
        <v>38</v>
      </c>
      <c r="E13" s="7" t="s">
        <v>19</v>
      </c>
      <c r="F13" s="7" t="s">
        <v>34</v>
      </c>
      <c r="G13" s="4"/>
      <c r="H13" s="4"/>
      <c r="I13" s="4"/>
      <c r="J13" s="3" cm="1">
        <f t="array" aca="1" ref="J13" ca="1">IF( OutlineLevel&lt;VALUE(RIGHT(J$8,1)), "",  IF( ISNUMBER(OFFSET(J13,-1,0)), OFFSET(J13,-1,0)+IF(OutlineLevel=VALUE(RIGHT(J$8,1)),1,0),1) )</f>
        <v>1</v>
      </c>
      <c r="K13" s="3" cm="1">
        <f t="array" aca="1" ref="K13" ca="1">IF( OutlineLevel&lt;VALUE(RIGHT(K$8,1)), "",  IF( ISNUMBER(OFFSET(K13,-1,0)), OFFSET(K13,-1,0)+IF(OutlineLevel=VALUE(RIGHT(K$8,1)),1,0),1) )</f>
        <v>1</v>
      </c>
      <c r="L13" s="3" cm="1">
        <f t="array" aca="1" ref="L13" ca="1">IF( OutlineLevel&lt;VALUE(RIGHT(L$8,1)), "",  IF( ISNUMBER(OFFSET(L13,-1,0)), OFFSET(L13,-1,0)+IF(OutlineLevel=VALUE(RIGHT(L$8,1)),1,0),1) )</f>
        <v>3</v>
      </c>
      <c r="M13" s="3" t="str" cm="1">
        <f t="array" aca="1" ref="M13" ca="1">IF( OutlineLevel&lt;VALUE(RIGHT(M$8,1)), "",  IF( ISNUMBER(OFFSET(M13,-1,0)), OFFSET(M13,-1,0)+IF(OutlineLevel=VALUE(RIGHT(M$8,1)),1,0),1) )</f>
        <v/>
      </c>
      <c r="N13" s="3" t="str" cm="1">
        <f t="array" aca="1" ref="N13" ca="1">IF( OutlineLevel&lt;VALUE(RIGHT(N$8,1)), "",  IF( ISNUMBER(OFFSET(N13,-1,0)), OFFSET(N13,-1,0)+IF(OutlineLevel=VALUE(RIGHT(N$8,1)),1,0),1) )</f>
        <v/>
      </c>
      <c r="O13" s="3" t="str" cm="1">
        <f t="array" aca="1" ref="O13" ca="1">IF( OutlineLevel&lt;VALUE(RIGHT(O$8,1)), "",  IF( ISNUMBER(OFFSET(O13,-1,0)), OFFSET(O13,-1,0)+IF(OutlineLevel=VALUE(RIGHT(O$8,1)),1,0),1) )</f>
        <v/>
      </c>
      <c r="P13" s="3" t="b">
        <f ca="1">Table1[[#This Row],[Level]]&lt;OFFSET(P13,1,1)</f>
        <v>0</v>
      </c>
      <c r="Q13" s="3" cm="1">
        <f t="array" ref="Q13">OutlineLevel</f>
        <v>3</v>
      </c>
    </row>
    <row r="14" spans="1:17" ht="30" x14ac:dyDescent="0.25">
      <c r="A14" s="2" t="str">
        <f ca="1">$A$7&amp;":"&amp;Table1[[#This Row],[L1]]&amp;IF(ISNUMBER(Table1[[#This Row],[L2]]),"."&amp;Table1[[#This Row],[L2]],"")&amp;IF(ISNUMBER(Table1[[#This Row],[L3]]),"."&amp;Table1[[#This Row],[L3]],"")&amp;IF(ISNUMBER(Table1[[#This Row],[L4]]),"."&amp;Table1[[#This Row],[L4]],"")&amp;IF(ISNUMBER(Table1[[#This Row],[L5]]),"."&amp;Table1[[#This Row],[L5]],"")&amp;IF(ISNUMBER(Table1[[#This Row],[L6]]),"."&amp;Table1[[#This Row],[L6]],"")</f>
        <v>USR:2</v>
      </c>
      <c r="B14" s="3" t="s">
        <v>24</v>
      </c>
      <c r="C14" s="4" t="s">
        <v>48</v>
      </c>
      <c r="D14" s="4"/>
      <c r="E14" s="7"/>
      <c r="F14" s="7"/>
      <c r="G14" s="4"/>
      <c r="H14" s="4"/>
      <c r="I14" s="4"/>
      <c r="J14" s="3" cm="1">
        <f t="array" aca="1" ref="J14" ca="1">IF( OutlineLevel&lt;VALUE(RIGHT(J$8,1)), "",  IF( ISNUMBER(OFFSET(J14,-1,0)), OFFSET(J14,-1,0)+IF(OutlineLevel=VALUE(RIGHT(J$8,1)),1,0),1) )</f>
        <v>2</v>
      </c>
      <c r="K14" s="3" t="str" cm="1">
        <f t="array" aca="1" ref="K14" ca="1">IF( OutlineLevel&lt;VALUE(RIGHT(K$8,1)), "",  IF( ISNUMBER(OFFSET(K14,-1,0)), OFFSET(K14,-1,0)+IF(OutlineLevel=VALUE(RIGHT(K$8,1)),1,0),1) )</f>
        <v/>
      </c>
      <c r="L14" s="3" t="str" cm="1">
        <f t="array" aca="1" ref="L14" ca="1">IF( OutlineLevel&lt;VALUE(RIGHT(L$8,1)), "",  IF( ISNUMBER(OFFSET(L14,-1,0)), OFFSET(L14,-1,0)+IF(OutlineLevel=VALUE(RIGHT(L$8,1)),1,0),1) )</f>
        <v/>
      </c>
      <c r="M14" s="3" t="str" cm="1">
        <f t="array" aca="1" ref="M14" ca="1">IF( OutlineLevel&lt;VALUE(RIGHT(M$8,1)), "",  IF( ISNUMBER(OFFSET(M14,-1,0)), OFFSET(M14,-1,0)+IF(OutlineLevel=VALUE(RIGHT(M$8,1)),1,0),1) )</f>
        <v/>
      </c>
      <c r="N14" s="3" t="str" cm="1">
        <f t="array" aca="1" ref="N14" ca="1">IF( OutlineLevel&lt;VALUE(RIGHT(N$8,1)), "",  IF( ISNUMBER(OFFSET(N14,-1,0)), OFFSET(N14,-1,0)+IF(OutlineLevel=VALUE(RIGHT(N$8,1)),1,0),1) )</f>
        <v/>
      </c>
      <c r="O14" s="3" t="str" cm="1">
        <f t="array" aca="1" ref="O14" ca="1">IF( OutlineLevel&lt;VALUE(RIGHT(O$8,1)), "",  IF( ISNUMBER(OFFSET(O14,-1,0)), OFFSET(O14,-1,0)+IF(OutlineLevel=VALUE(RIGHT(O$8,1)),1,0),1) )</f>
        <v/>
      </c>
      <c r="P14" s="3" t="b">
        <f ca="1">Table1[[#This Row],[Level]]&lt;OFFSET(P14,1,1)</f>
        <v>1</v>
      </c>
      <c r="Q14" s="3" cm="1">
        <f t="array" ref="Q14">OutlineLevel</f>
        <v>1</v>
      </c>
    </row>
    <row r="15" spans="1:17" ht="30" outlineLevel="1" x14ac:dyDescent="0.25">
      <c r="A15" s="2" t="str">
        <f ca="1">$A$7&amp;":"&amp;Table1[[#This Row],[L1]]&amp;IF(ISNUMBER(Table1[[#This Row],[L2]]),"."&amp;Table1[[#This Row],[L2]],"")&amp;IF(ISNUMBER(Table1[[#This Row],[L3]]),"."&amp;Table1[[#This Row],[L3]],"")&amp;IF(ISNUMBER(Table1[[#This Row],[L4]]),"."&amp;Table1[[#This Row],[L4]],"")&amp;IF(ISNUMBER(Table1[[#This Row],[L5]]),"."&amp;Table1[[#This Row],[L5]],"")&amp;IF(ISNUMBER(Table1[[#This Row],[L6]]),"."&amp;Table1[[#This Row],[L6]],"")</f>
        <v>USR:2.1</v>
      </c>
      <c r="B15" s="3" t="s">
        <v>24</v>
      </c>
      <c r="C15" s="4" t="s">
        <v>39</v>
      </c>
      <c r="D15" s="4"/>
      <c r="E15" s="7" t="s">
        <v>19</v>
      </c>
      <c r="F15" s="7" t="s">
        <v>34</v>
      </c>
      <c r="G15" s="4"/>
      <c r="H15" s="4"/>
      <c r="I15" s="4"/>
      <c r="J15" s="3" cm="1">
        <f t="array" aca="1" ref="J15" ca="1">IF( OutlineLevel&lt;VALUE(RIGHT(J$8,1)), "",  IF( ISNUMBER(OFFSET(J15,-1,0)), OFFSET(J15,-1,0)+IF(OutlineLevel=VALUE(RIGHT(J$8,1)),1,0),1) )</f>
        <v>2</v>
      </c>
      <c r="K15" s="3" cm="1">
        <f t="array" aca="1" ref="K15" ca="1">IF( OutlineLevel&lt;VALUE(RIGHT(K$8,1)), "",  IF( ISNUMBER(OFFSET(K15,-1,0)), OFFSET(K15,-1,0)+IF(OutlineLevel=VALUE(RIGHT(K$8,1)),1,0),1) )</f>
        <v>1</v>
      </c>
      <c r="L15" s="3" t="str" cm="1">
        <f t="array" aca="1" ref="L15" ca="1">IF( OutlineLevel&lt;VALUE(RIGHT(L$8,1)), "",  IF( ISNUMBER(OFFSET(L15,-1,0)), OFFSET(L15,-1,0)+IF(OutlineLevel=VALUE(RIGHT(L$8,1)),1,0),1) )</f>
        <v/>
      </c>
      <c r="M15" s="3" t="str" cm="1">
        <f t="array" aca="1" ref="M15" ca="1">IF( OutlineLevel&lt;VALUE(RIGHT(M$8,1)), "",  IF( ISNUMBER(OFFSET(M15,-1,0)), OFFSET(M15,-1,0)+IF(OutlineLevel=VALUE(RIGHT(M$8,1)),1,0),1) )</f>
        <v/>
      </c>
      <c r="N15" s="3" t="str" cm="1">
        <f t="array" aca="1" ref="N15" ca="1">IF( OutlineLevel&lt;VALUE(RIGHT(N$8,1)), "",  IF( ISNUMBER(OFFSET(N15,-1,0)), OFFSET(N15,-1,0)+IF(OutlineLevel=VALUE(RIGHT(N$8,1)),1,0),1) )</f>
        <v/>
      </c>
      <c r="O15" s="3" t="str" cm="1">
        <f t="array" aca="1" ref="O15" ca="1">IF( OutlineLevel&lt;VALUE(RIGHT(O$8,1)), "",  IF( ISNUMBER(OFFSET(O15,-1,0)), OFFSET(O15,-1,0)+IF(OutlineLevel=VALUE(RIGHT(O$8,1)),1,0),1) )</f>
        <v/>
      </c>
      <c r="P15" s="3" t="b">
        <f ca="1">Table1[[#This Row],[Level]]&lt;OFFSET(P15,1,1)</f>
        <v>0</v>
      </c>
      <c r="Q15" s="3" cm="1">
        <f t="array" ref="Q15">OutlineLevel</f>
        <v>2</v>
      </c>
    </row>
    <row r="16" spans="1:17" ht="45" outlineLevel="1" x14ac:dyDescent="0.25">
      <c r="A16" s="2" t="str">
        <f ca="1">$A$7&amp;":"&amp;Table1[[#This Row],[L1]]&amp;IF(ISNUMBER(Table1[[#This Row],[L2]]),"."&amp;Table1[[#This Row],[L2]],"")&amp;IF(ISNUMBER(Table1[[#This Row],[L3]]),"."&amp;Table1[[#This Row],[L3]],"")&amp;IF(ISNUMBER(Table1[[#This Row],[L4]]),"."&amp;Table1[[#This Row],[L4]],"")&amp;IF(ISNUMBER(Table1[[#This Row],[L5]]),"."&amp;Table1[[#This Row],[L5]],"")&amp;IF(ISNUMBER(Table1[[#This Row],[L6]]),"."&amp;Table1[[#This Row],[L6]],"")</f>
        <v>USR:2.2</v>
      </c>
      <c r="B16" s="3" t="s">
        <v>24</v>
      </c>
      <c r="C16" s="4" t="s">
        <v>42</v>
      </c>
      <c r="D16" s="4" t="s">
        <v>40</v>
      </c>
      <c r="E16" s="7" t="s">
        <v>20</v>
      </c>
      <c r="F16" s="7" t="s">
        <v>34</v>
      </c>
      <c r="G16" s="8" t="s">
        <v>41</v>
      </c>
      <c r="H16" s="4"/>
      <c r="I16" s="4"/>
      <c r="J16" s="3" cm="1">
        <f t="array" aca="1" ref="J16" ca="1">IF( OutlineLevel&lt;VALUE(RIGHT(J$8,1)), "",  IF( ISNUMBER(OFFSET(J16,-1,0)), OFFSET(J16,-1,0)+IF(OutlineLevel=VALUE(RIGHT(J$8,1)),1,0),1) )</f>
        <v>2</v>
      </c>
      <c r="K16" s="3" cm="1">
        <f t="array" aca="1" ref="K16" ca="1">IF( OutlineLevel&lt;VALUE(RIGHT(K$8,1)), "",  IF( ISNUMBER(OFFSET(K16,-1,0)), OFFSET(K16,-1,0)+IF(OutlineLevel=VALUE(RIGHT(K$8,1)),1,0),1) )</f>
        <v>2</v>
      </c>
      <c r="L16" s="3" t="str" cm="1">
        <f t="array" aca="1" ref="L16" ca="1">IF( OutlineLevel&lt;VALUE(RIGHT(L$8,1)), "",  IF( ISNUMBER(OFFSET(L16,-1,0)), OFFSET(L16,-1,0)+IF(OutlineLevel=VALUE(RIGHT(L$8,1)),1,0),1) )</f>
        <v/>
      </c>
      <c r="M16" s="3" t="str" cm="1">
        <f t="array" aca="1" ref="M16" ca="1">IF( OutlineLevel&lt;VALUE(RIGHT(M$8,1)), "",  IF( ISNUMBER(OFFSET(M16,-1,0)), OFFSET(M16,-1,0)+IF(OutlineLevel=VALUE(RIGHT(M$8,1)),1,0),1) )</f>
        <v/>
      </c>
      <c r="N16" s="3" t="str" cm="1">
        <f t="array" aca="1" ref="N16" ca="1">IF( OutlineLevel&lt;VALUE(RIGHT(N$8,1)), "",  IF( ISNUMBER(OFFSET(N16,-1,0)), OFFSET(N16,-1,0)+IF(OutlineLevel=VALUE(RIGHT(N$8,1)),1,0),1) )</f>
        <v/>
      </c>
      <c r="O16" s="3" t="str" cm="1">
        <f t="array" aca="1" ref="O16" ca="1">IF( OutlineLevel&lt;VALUE(RIGHT(O$8,1)), "",  IF( ISNUMBER(OFFSET(O16,-1,0)), OFFSET(O16,-1,0)+IF(OutlineLevel=VALUE(RIGHT(O$8,1)),1,0),1) )</f>
        <v/>
      </c>
      <c r="P16" s="3" t="b">
        <f ca="1">Table1[[#This Row],[Level]]&lt;OFFSET(P16,1,1)</f>
        <v>0</v>
      </c>
      <c r="Q16" s="3" cm="1">
        <f t="array" ref="Q16">OutlineLevel</f>
        <v>2</v>
      </c>
    </row>
    <row r="17" spans="1:17" ht="30" x14ac:dyDescent="0.25">
      <c r="A17" s="2" t="str">
        <f ca="1">$A$7&amp;":"&amp;Table1[[#This Row],[L1]]&amp;IF(ISNUMBER(Table1[[#This Row],[L2]]),"."&amp;Table1[[#This Row],[L2]],"")&amp;IF(ISNUMBER(Table1[[#This Row],[L3]]),"."&amp;Table1[[#This Row],[L3]],"")&amp;IF(ISNUMBER(Table1[[#This Row],[L4]]),"."&amp;Table1[[#This Row],[L4]],"")&amp;IF(ISNUMBER(Table1[[#This Row],[L5]]),"."&amp;Table1[[#This Row],[L5]],"")&amp;IF(ISNUMBER(Table1[[#This Row],[L6]]),"."&amp;Table1[[#This Row],[L6]],"")</f>
        <v>USR:3</v>
      </c>
      <c r="B17" s="3" t="s">
        <v>24</v>
      </c>
      <c r="C17" s="4" t="s">
        <v>51</v>
      </c>
      <c r="D17" s="4"/>
      <c r="E17" s="7" t="s">
        <v>49</v>
      </c>
      <c r="F17" s="7"/>
      <c r="G17" s="4" t="s">
        <v>52</v>
      </c>
      <c r="H17" s="4"/>
      <c r="I17" s="4"/>
      <c r="J17" s="3" cm="1">
        <f t="array" aca="1" ref="J17" ca="1">IF( OutlineLevel&lt;VALUE(RIGHT(J$8,1)), "",  IF( ISNUMBER(OFFSET(J17,-1,0)), OFFSET(J17,-1,0)+IF(OutlineLevel=VALUE(RIGHT(J$8,1)),1,0),1) )</f>
        <v>3</v>
      </c>
      <c r="K17" s="3" t="str" cm="1">
        <f t="array" aca="1" ref="K17" ca="1">IF( OutlineLevel&lt;VALUE(RIGHT(K$8,1)), "",  IF( ISNUMBER(OFFSET(K17,-1,0)), OFFSET(K17,-1,0)+IF(OutlineLevel=VALUE(RIGHT(K$8,1)),1,0),1) )</f>
        <v/>
      </c>
      <c r="L17" s="3" t="str" cm="1">
        <f t="array" aca="1" ref="L17" ca="1">IF( OutlineLevel&lt;VALUE(RIGHT(L$8,1)), "",  IF( ISNUMBER(OFFSET(L17,-1,0)), OFFSET(L17,-1,0)+IF(OutlineLevel=VALUE(RIGHT(L$8,1)),1,0),1) )</f>
        <v/>
      </c>
      <c r="M17" s="3" t="str" cm="1">
        <f t="array" aca="1" ref="M17" ca="1">IF( OutlineLevel&lt;VALUE(RIGHT(M$8,1)), "",  IF( ISNUMBER(OFFSET(M17,-1,0)), OFFSET(M17,-1,0)+IF(OutlineLevel=VALUE(RIGHT(M$8,1)),1,0),1) )</f>
        <v/>
      </c>
      <c r="N17" s="3" t="str" cm="1">
        <f t="array" aca="1" ref="N17" ca="1">IF( OutlineLevel&lt;VALUE(RIGHT(N$8,1)), "",  IF( ISNUMBER(OFFSET(N17,-1,0)), OFFSET(N17,-1,0)+IF(OutlineLevel=VALUE(RIGHT(N$8,1)),1,0),1) )</f>
        <v/>
      </c>
      <c r="O17" s="3" t="str" cm="1">
        <f t="array" aca="1" ref="O17" ca="1">IF( OutlineLevel&lt;VALUE(RIGHT(O$8,1)), "",  IF( ISNUMBER(OFFSET(O17,-1,0)), OFFSET(O17,-1,0)+IF(OutlineLevel=VALUE(RIGHT(O$8,1)),1,0),1) )</f>
        <v/>
      </c>
      <c r="P17" s="3" t="b">
        <f ca="1">Table1[[#This Row],[Level]]&lt;OFFSET(P17,1,1)</f>
        <v>0</v>
      </c>
      <c r="Q17" s="3" cm="1">
        <f t="array" ref="Q17">OutlineLevel</f>
        <v>1</v>
      </c>
    </row>
  </sheetData>
  <mergeCells count="8">
    <mergeCell ref="A5:B5"/>
    <mergeCell ref="A4:B4"/>
    <mergeCell ref="A3:B3"/>
    <mergeCell ref="A2:B2"/>
    <mergeCell ref="C5:D5"/>
    <mergeCell ref="C4:D4"/>
    <mergeCell ref="C3:D3"/>
    <mergeCell ref="C2:D2"/>
  </mergeCells>
  <phoneticPr fontId="3" type="noConversion"/>
  <conditionalFormatting sqref="C9:C17">
    <cfRule type="expression" dxfId="27" priority="3" stopIfTrue="1">
      <formula>AND($Q9=1,$P9)</formula>
    </cfRule>
    <cfRule type="expression" dxfId="26" priority="4" stopIfTrue="1">
      <formula>AND($Q9=2,$P9)</formula>
    </cfRule>
    <cfRule type="expression" dxfId="25" priority="5" stopIfTrue="1">
      <formula>AND($Q9=3,$P9)</formula>
    </cfRule>
    <cfRule type="expression" dxfId="24" priority="6" stopIfTrue="1">
      <formula>AND($Q9=4,$P9)</formula>
    </cfRule>
    <cfRule type="expression" dxfId="23" priority="7" stopIfTrue="1">
      <formula>AND($Q9=5,$P9)</formula>
    </cfRule>
    <cfRule type="expression" dxfId="22" priority="8" stopIfTrue="1">
      <formula>$Q9=2</formula>
    </cfRule>
    <cfRule type="expression" dxfId="21" priority="9" stopIfTrue="1">
      <formula>$Q9=3</formula>
    </cfRule>
    <cfRule type="expression" dxfId="20" priority="10" stopIfTrue="1">
      <formula>$Q9=4</formula>
    </cfRule>
    <cfRule type="expression" dxfId="19" priority="11" stopIfTrue="1">
      <formula>$Q9=5</formula>
    </cfRule>
    <cfRule type="expression" dxfId="18" priority="12" stopIfTrue="1">
      <formula>$Q9&gt;=6</formula>
    </cfRule>
  </conditionalFormatting>
  <conditionalFormatting sqref="A9:Q17">
    <cfRule type="expression" dxfId="17" priority="1">
      <formula>ISEVEN($Q9)</formula>
    </cfRule>
    <cfRule type="expression" dxfId="16" priority="2">
      <formula>$Q9=1</formula>
    </cfRule>
  </conditionalFormatting>
  <dataValidations count="3">
    <dataValidation type="list" allowBlank="1" showInputMessage="1" showErrorMessage="1" sqref="B9:B17" xr:uid="{8B68E31F-5F58-45BA-B03B-F3A36C2924A8}">
      <formula1>$F$2:$F$6</formula1>
    </dataValidation>
    <dataValidation type="list" allowBlank="1" showInputMessage="1" showErrorMessage="1" sqref="F9:F17" xr:uid="{2E6638D5-7F8F-45C6-89FE-4136FDDA099A}">
      <formula1>$H$2:$H$6</formula1>
    </dataValidation>
    <dataValidation type="list" allowBlank="1" showInputMessage="1" showErrorMessage="1" sqref="E9:E17" xr:uid="{D4FA9FE3-58F7-4B5A-906C-FEB80E3ACDE4}">
      <formula1>$G$2:$G$5</formula1>
    </dataValidation>
  </dataValidations>
  <pageMargins left="0.7" right="0.7" top="0.75" bottom="0.75" header="0.3" footer="0.3"/>
  <pageSetup scale="58" fitToHeight="0" orientation="landscape"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88505-B9AC-4516-85EA-7E12B891B219}">
  <sheetPr codeName="Sheet3">
    <outlinePr summaryBelow="0"/>
    <pageSetUpPr fitToPage="1"/>
  </sheetPr>
  <dimension ref="A1:Q55"/>
  <sheetViews>
    <sheetView zoomScale="70" zoomScaleNormal="70" workbookViewId="0">
      <pane ySplit="8" topLeftCell="A35" activePane="bottomLeft" state="frozen"/>
      <selection pane="bottomLeft" activeCell="C45" sqref="C45"/>
    </sheetView>
  </sheetViews>
  <sheetFormatPr defaultRowHeight="15" outlineLevelRow="6" outlineLevelCol="1" x14ac:dyDescent="0.25"/>
  <cols>
    <col min="1" max="1" width="19.140625" style="2" customWidth="1"/>
    <col min="2" max="2" width="8.28515625" style="2" customWidth="1"/>
    <col min="3" max="3" width="42" style="2" customWidth="1"/>
    <col min="4" max="4" width="39.85546875" style="2" customWidth="1"/>
    <col min="5" max="5" width="15.28515625" style="2" customWidth="1"/>
    <col min="6" max="6" width="16.42578125" style="2" customWidth="1"/>
    <col min="7" max="7" width="51.7109375" style="2" customWidth="1"/>
    <col min="8" max="8" width="18.42578125" style="2" bestFit="1" customWidth="1"/>
    <col min="9" max="9" width="22.28515625" style="2" customWidth="1" collapsed="1"/>
    <col min="10" max="15" width="6" style="2" hidden="1" customWidth="1" outlineLevel="1"/>
    <col min="16" max="16" width="10.28515625" style="2" hidden="1" customWidth="1" outlineLevel="1"/>
    <col min="17" max="17" width="8.28515625" style="2" customWidth="1" collapsed="1"/>
    <col min="18" max="18" width="1.7109375" style="2" customWidth="1"/>
    <col min="19" max="16384" width="9.140625" style="2"/>
  </cols>
  <sheetData>
    <row r="1" spans="1:17" ht="28.5" x14ac:dyDescent="0.25">
      <c r="A1" s="1" t="s">
        <v>2</v>
      </c>
      <c r="F1" s="2" t="s">
        <v>53</v>
      </c>
      <c r="G1" s="2" t="s">
        <v>23</v>
      </c>
      <c r="H1" s="2" t="s">
        <v>6</v>
      </c>
    </row>
    <row r="2" spans="1:17" x14ac:dyDescent="0.25">
      <c r="A2" s="22" t="s">
        <v>0</v>
      </c>
      <c r="B2" s="23"/>
      <c r="C2" s="22" t="s">
        <v>1</v>
      </c>
      <c r="D2" s="23"/>
      <c r="F2" s="2" t="s">
        <v>24</v>
      </c>
      <c r="G2" s="2" t="s">
        <v>49</v>
      </c>
      <c r="H2" s="2" t="s">
        <v>31</v>
      </c>
    </row>
    <row r="3" spans="1:17" x14ac:dyDescent="0.25">
      <c r="A3" s="20" t="s">
        <v>8</v>
      </c>
      <c r="B3" s="21"/>
      <c r="C3" s="20" t="s">
        <v>46</v>
      </c>
      <c r="D3" s="21"/>
      <c r="F3" s="2" t="s">
        <v>25</v>
      </c>
      <c r="G3" s="2" t="s">
        <v>22</v>
      </c>
      <c r="H3" s="2" t="s">
        <v>33</v>
      </c>
    </row>
    <row r="4" spans="1:17" x14ac:dyDescent="0.25">
      <c r="A4" s="22" t="s">
        <v>3</v>
      </c>
      <c r="B4" s="23"/>
      <c r="C4" s="22" t="s">
        <v>4</v>
      </c>
      <c r="D4" s="23"/>
      <c r="F4" s="2" t="s">
        <v>26</v>
      </c>
      <c r="G4" s="2" t="s">
        <v>21</v>
      </c>
      <c r="H4" s="2" t="s">
        <v>34</v>
      </c>
    </row>
    <row r="5" spans="1:17" x14ac:dyDescent="0.25">
      <c r="A5" s="20"/>
      <c r="B5" s="21"/>
      <c r="C5" s="24">
        <v>45345</v>
      </c>
      <c r="D5" s="25"/>
      <c r="F5" s="2" t="s">
        <v>35</v>
      </c>
      <c r="G5" s="2" t="s">
        <v>19</v>
      </c>
      <c r="H5" s="2" t="s">
        <v>32</v>
      </c>
    </row>
    <row r="6" spans="1:17" x14ac:dyDescent="0.25">
      <c r="F6" s="2" t="s">
        <v>36</v>
      </c>
      <c r="J6" s="3"/>
      <c r="K6" s="3"/>
      <c r="L6" s="3"/>
      <c r="M6" s="3"/>
      <c r="N6" s="3"/>
      <c r="O6" s="3"/>
    </row>
    <row r="7" spans="1:17" ht="21" x14ac:dyDescent="0.25">
      <c r="A7" s="10" t="s">
        <v>55</v>
      </c>
      <c r="J7" s="3"/>
      <c r="K7" s="3"/>
      <c r="L7" s="3"/>
      <c r="M7" s="3"/>
      <c r="N7" s="3"/>
      <c r="O7" s="3"/>
    </row>
    <row r="8" spans="1:17" ht="15.75" x14ac:dyDescent="0.25">
      <c r="A8" s="5" t="s">
        <v>13</v>
      </c>
      <c r="B8" s="6" t="s">
        <v>53</v>
      </c>
      <c r="C8" s="5" t="s">
        <v>17</v>
      </c>
      <c r="D8" s="5" t="s">
        <v>18</v>
      </c>
      <c r="E8" s="5" t="s">
        <v>23</v>
      </c>
      <c r="F8" s="5" t="s">
        <v>6</v>
      </c>
      <c r="G8" s="5" t="s">
        <v>7</v>
      </c>
      <c r="H8" s="5" t="s">
        <v>45</v>
      </c>
      <c r="I8" s="5" t="s">
        <v>5</v>
      </c>
      <c r="J8" s="6" t="s">
        <v>9</v>
      </c>
      <c r="K8" s="6" t="s">
        <v>10</v>
      </c>
      <c r="L8" s="6" t="s">
        <v>11</v>
      </c>
      <c r="M8" s="6" t="s">
        <v>12</v>
      </c>
      <c r="N8" s="6" t="s">
        <v>15</v>
      </c>
      <c r="O8" s="6" t="s">
        <v>16</v>
      </c>
      <c r="P8" s="5" t="s">
        <v>14</v>
      </c>
      <c r="Q8" s="9" t="s">
        <v>27</v>
      </c>
    </row>
    <row r="9" spans="1:17" x14ac:dyDescent="0.25">
      <c r="A9"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ECM:1</v>
      </c>
      <c r="B9" s="3" t="s">
        <v>35</v>
      </c>
      <c r="C9" s="4" t="s">
        <v>21</v>
      </c>
      <c r="D9" s="4"/>
      <c r="E9" s="7" t="s">
        <v>21</v>
      </c>
      <c r="F9" s="7"/>
      <c r="G9" s="4"/>
      <c r="H9" s="4"/>
      <c r="I9" s="4"/>
      <c r="J9" s="3" cm="1">
        <f t="array" aca="1" ref="J9" ca="1">IF( OutlineLevel&lt;VALUE(RIGHT(J$8,1)), "",  IF( ISNUMBER(OFFSET(J9,-1,0)), OFFSET(J9,-1,0)+IF(OutlineLevel=VALUE(RIGHT(J$8,1)),1,0),1) )</f>
        <v>1</v>
      </c>
      <c r="K9" s="3" t="str" cm="1">
        <f t="array" aca="1" ref="K9" ca="1">IF( OutlineLevel&lt;VALUE(RIGHT(K$8,1)), "",  IF( ISNUMBER(OFFSET(K9,-1,0)), OFFSET(K9,-1,0)+IF(OutlineLevel=VALUE(RIGHT(K$8,1)),1,0),1) )</f>
        <v/>
      </c>
      <c r="L9" s="3" t="str" cm="1">
        <f t="array" aca="1" ref="L9" ca="1">IF( OutlineLevel&lt;VALUE(RIGHT(L$8,1)), "",  IF( ISNUMBER(OFFSET(L9,-1,0)), OFFSET(L9,-1,0)+IF(OutlineLevel=VALUE(RIGHT(L$8,1)),1,0),1) )</f>
        <v/>
      </c>
      <c r="M9" s="3" t="str" cm="1">
        <f t="array" aca="1" ref="M9" ca="1">IF( OutlineLevel&lt;VALUE(RIGHT(M$8,1)), "",  IF( ISNUMBER(OFFSET(M9,-1,0)), OFFSET(M9,-1,0)+IF(OutlineLevel=VALUE(RIGHT(M$8,1)),1,0),1) )</f>
        <v/>
      </c>
      <c r="N9" s="3" t="str" cm="1">
        <f t="array" aca="1" ref="N9" ca="1">IF( OutlineLevel&lt;VALUE(RIGHT(N$8,1)), "",  IF( ISNUMBER(OFFSET(N9,-1,0)), OFFSET(N9,-1,0)+IF(OutlineLevel=VALUE(RIGHT(N$8,1)),1,0),1) )</f>
        <v/>
      </c>
      <c r="O9" s="3" t="str" cm="1">
        <f t="array" aca="1" ref="O9" ca="1">IF( OutlineLevel&lt;VALUE(RIGHT(O$8,1)), "",  IF( ISNUMBER(OFFSET(O9,-1,0)), OFFSET(O9,-1,0)+IF(OutlineLevel=VALUE(RIGHT(O$8,1)),1,0),1) )</f>
        <v/>
      </c>
      <c r="P9" s="3" t="b">
        <f ca="1">Table14[[#This Row],[Level]]&lt;OFFSET(P9,1,1)</f>
        <v>1</v>
      </c>
      <c r="Q9" s="3" cm="1">
        <f t="array" ref="Q9">OutlineLevel</f>
        <v>1</v>
      </c>
    </row>
    <row r="10" spans="1:17" outlineLevel="1" x14ac:dyDescent="0.25">
      <c r="A10"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ECM:1.1</v>
      </c>
      <c r="B10" s="3" t="s">
        <v>24</v>
      </c>
      <c r="C10" s="4" t="s">
        <v>57</v>
      </c>
      <c r="D10" s="4"/>
      <c r="E10" s="7"/>
      <c r="F10" s="7"/>
      <c r="G10" s="4"/>
      <c r="H10" s="4"/>
      <c r="I10" s="4"/>
      <c r="J10" s="3" cm="1">
        <f t="array" aca="1" ref="J10" ca="1">IF( OutlineLevel&lt;VALUE(RIGHT(J$8,1)), "",  IF( ISNUMBER(OFFSET(J10,-1,0)), OFFSET(J10,-1,0)+IF(OutlineLevel=VALUE(RIGHT(J$8,1)),1,0),1) )</f>
        <v>1</v>
      </c>
      <c r="K10" s="3" cm="1">
        <f t="array" aca="1" ref="K10" ca="1">IF( OutlineLevel&lt;VALUE(RIGHT(K$8,1)), "",  IF( ISNUMBER(OFFSET(K10,-1,0)), OFFSET(K10,-1,0)+IF(OutlineLevel=VALUE(RIGHT(K$8,1)),1,0),1) )</f>
        <v>1</v>
      </c>
      <c r="L10" s="3" t="str" cm="1">
        <f t="array" aca="1" ref="L10" ca="1">IF( OutlineLevel&lt;VALUE(RIGHT(L$8,1)), "",  IF( ISNUMBER(OFFSET(L10,-1,0)), OFFSET(L10,-1,0)+IF(OutlineLevel=VALUE(RIGHT(L$8,1)),1,0),1) )</f>
        <v/>
      </c>
      <c r="M10" s="3" t="str" cm="1">
        <f t="array" aca="1" ref="M10" ca="1">IF( OutlineLevel&lt;VALUE(RIGHT(M$8,1)), "",  IF( ISNUMBER(OFFSET(M10,-1,0)), OFFSET(M10,-1,0)+IF(OutlineLevel=VALUE(RIGHT(M$8,1)),1,0),1) )</f>
        <v/>
      </c>
      <c r="N10" s="3" t="str" cm="1">
        <f t="array" aca="1" ref="N10" ca="1">IF( OutlineLevel&lt;VALUE(RIGHT(N$8,1)), "",  IF( ISNUMBER(OFFSET(N10,-1,0)), OFFSET(N10,-1,0)+IF(OutlineLevel=VALUE(RIGHT(N$8,1)),1,0),1) )</f>
        <v/>
      </c>
      <c r="O10" s="3" t="str" cm="1">
        <f t="array" aca="1" ref="O10" ca="1">IF( OutlineLevel&lt;VALUE(RIGHT(O$8,1)), "",  IF( ISNUMBER(OFFSET(O10,-1,0)), OFFSET(O10,-1,0)+IF(OutlineLevel=VALUE(RIGHT(O$8,1)),1,0),1) )</f>
        <v/>
      </c>
      <c r="P10" s="3" t="b">
        <f ca="1">Table14[[#This Row],[Level]]&lt;OFFSET(P10,1,1)</f>
        <v>0</v>
      </c>
      <c r="Q10" s="3" cm="1">
        <f t="array" ref="Q10">OutlineLevel</f>
        <v>2</v>
      </c>
    </row>
    <row r="11" spans="1:17" x14ac:dyDescent="0.25">
      <c r="A11"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ECM:2</v>
      </c>
      <c r="B11" s="3" t="s">
        <v>35</v>
      </c>
      <c r="C11" s="4" t="s">
        <v>56</v>
      </c>
      <c r="D11" s="4"/>
      <c r="E11" s="7" t="s">
        <v>19</v>
      </c>
      <c r="F11" s="7" t="s">
        <v>34</v>
      </c>
      <c r="G11" s="4"/>
      <c r="H11" s="4"/>
      <c r="I11" s="4"/>
      <c r="J11" s="3" cm="1">
        <f t="array" aca="1" ref="J11" ca="1">IF( OutlineLevel&lt;VALUE(RIGHT(J$8,1)), "",  IF( ISNUMBER(OFFSET(J11,-1,0)), OFFSET(J11,-1,0)+IF(OutlineLevel=VALUE(RIGHT(J$8,1)),1,0),1) )</f>
        <v>2</v>
      </c>
      <c r="K11" s="3" t="str" cm="1">
        <f t="array" aca="1" ref="K11" ca="1">IF( OutlineLevel&lt;VALUE(RIGHT(K$8,1)), "",  IF( ISNUMBER(OFFSET(K11,-1,0)), OFFSET(K11,-1,0)+IF(OutlineLevel=VALUE(RIGHT(K$8,1)),1,0),1) )</f>
        <v/>
      </c>
      <c r="L11" s="3" t="str" cm="1">
        <f t="array" aca="1" ref="L11" ca="1">IF( OutlineLevel&lt;VALUE(RIGHT(L$8,1)), "",  IF( ISNUMBER(OFFSET(L11,-1,0)), OFFSET(L11,-1,0)+IF(OutlineLevel=VALUE(RIGHT(L$8,1)),1,0),1) )</f>
        <v/>
      </c>
      <c r="M11" s="3" t="str" cm="1">
        <f t="array" aca="1" ref="M11" ca="1">IF( OutlineLevel&lt;VALUE(RIGHT(M$8,1)), "",  IF( ISNUMBER(OFFSET(M11,-1,0)), OFFSET(M11,-1,0)+IF(OutlineLevel=VALUE(RIGHT(M$8,1)),1,0),1) )</f>
        <v/>
      </c>
      <c r="N11" s="3" t="str" cm="1">
        <f t="array" aca="1" ref="N11" ca="1">IF( OutlineLevel&lt;VALUE(RIGHT(N$8,1)), "",  IF( ISNUMBER(OFFSET(N11,-1,0)), OFFSET(N11,-1,0)+IF(OutlineLevel=VALUE(RIGHT(N$8,1)),1,0),1) )</f>
        <v/>
      </c>
      <c r="O11" s="3" t="str" cm="1">
        <f t="array" aca="1" ref="O11" ca="1">IF( OutlineLevel&lt;VALUE(RIGHT(O$8,1)), "",  IF( ISNUMBER(OFFSET(O11,-1,0)), OFFSET(O11,-1,0)+IF(OutlineLevel=VALUE(RIGHT(O$8,1)),1,0),1) )</f>
        <v/>
      </c>
      <c r="P11" s="3" t="b">
        <f ca="1">Table14[[#This Row],[Level]]&lt;OFFSET(P11,1,1)</f>
        <v>1</v>
      </c>
      <c r="Q11" s="3" cm="1">
        <f t="array" ref="Q11">OutlineLevel</f>
        <v>1</v>
      </c>
    </row>
    <row r="12" spans="1:17" outlineLevel="1" x14ac:dyDescent="0.25">
      <c r="A12"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ECM:2.1</v>
      </c>
      <c r="B12" s="3" t="s">
        <v>24</v>
      </c>
      <c r="C12" s="4" t="s">
        <v>59</v>
      </c>
      <c r="D12" s="4"/>
      <c r="E12" s="7"/>
      <c r="F12" s="7"/>
      <c r="G12" s="4"/>
      <c r="H12" s="4"/>
      <c r="I12" s="4"/>
      <c r="J12" s="3" cm="1">
        <f t="array" aca="1" ref="J12" ca="1">IF( OutlineLevel&lt;VALUE(RIGHT(J$8,1)), "",  IF( ISNUMBER(OFFSET(J12,-1,0)), OFFSET(J12,-1,0)+IF(OutlineLevel=VALUE(RIGHT(J$8,1)),1,0),1) )</f>
        <v>2</v>
      </c>
      <c r="K12" s="3" cm="1">
        <f t="array" aca="1" ref="K12" ca="1">IF( OutlineLevel&lt;VALUE(RIGHT(K$8,1)), "",  IF( ISNUMBER(OFFSET(K12,-1,0)), OFFSET(K12,-1,0)+IF(OutlineLevel=VALUE(RIGHT(K$8,1)),1,0),1) )</f>
        <v>1</v>
      </c>
      <c r="L12" s="3" t="str" cm="1">
        <f t="array" aca="1" ref="L12" ca="1">IF( OutlineLevel&lt;VALUE(RIGHT(L$8,1)), "",  IF( ISNUMBER(OFFSET(L12,-1,0)), OFFSET(L12,-1,0)+IF(OutlineLevel=VALUE(RIGHT(L$8,1)),1,0),1) )</f>
        <v/>
      </c>
      <c r="M12" s="3" t="str" cm="1">
        <f t="array" aca="1" ref="M12" ca="1">IF( OutlineLevel&lt;VALUE(RIGHT(M$8,1)), "",  IF( ISNUMBER(OFFSET(M12,-1,0)), OFFSET(M12,-1,0)+IF(OutlineLevel=VALUE(RIGHT(M$8,1)),1,0),1) )</f>
        <v/>
      </c>
      <c r="N12" s="3" t="str" cm="1">
        <f t="array" aca="1" ref="N12" ca="1">IF( OutlineLevel&lt;VALUE(RIGHT(N$8,1)), "",  IF( ISNUMBER(OFFSET(N12,-1,0)), OFFSET(N12,-1,0)+IF(OutlineLevel=VALUE(RIGHT(N$8,1)),1,0),1) )</f>
        <v/>
      </c>
      <c r="O12" s="3" t="str" cm="1">
        <f t="array" aca="1" ref="O12" ca="1">IF( OutlineLevel&lt;VALUE(RIGHT(O$8,1)), "",  IF( ISNUMBER(OFFSET(O12,-1,0)), OFFSET(O12,-1,0)+IF(OutlineLevel=VALUE(RIGHT(O$8,1)),1,0),1) )</f>
        <v/>
      </c>
      <c r="P12" s="3" t="b">
        <f ca="1">Table14[[#This Row],[Level]]&lt;OFFSET(P12,1,1)</f>
        <v>0</v>
      </c>
      <c r="Q12" s="3" cm="1">
        <f t="array" ref="Q12">OutlineLevel</f>
        <v>2</v>
      </c>
    </row>
    <row r="13" spans="1:17" x14ac:dyDescent="0.25">
      <c r="A13"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ECM:3</v>
      </c>
      <c r="B13" s="3" t="s">
        <v>35</v>
      </c>
      <c r="C13" s="4" t="s">
        <v>58</v>
      </c>
      <c r="D13" s="4"/>
      <c r="E13" s="7"/>
      <c r="F13" s="7"/>
      <c r="G13" s="4"/>
      <c r="H13" s="4"/>
      <c r="I13" s="4"/>
      <c r="J13" s="3" cm="1">
        <f t="array" aca="1" ref="J13" ca="1">IF( OutlineLevel&lt;VALUE(RIGHT(J$8,1)), "",  IF( ISNUMBER(OFFSET(J13,-1,0)), OFFSET(J13,-1,0)+IF(OutlineLevel=VALUE(RIGHT(J$8,1)),1,0),1) )</f>
        <v>3</v>
      </c>
      <c r="K13" s="3" t="str" cm="1">
        <f t="array" aca="1" ref="K13" ca="1">IF( OutlineLevel&lt;VALUE(RIGHT(K$8,1)), "",  IF( ISNUMBER(OFFSET(K13,-1,0)), OFFSET(K13,-1,0)+IF(OutlineLevel=VALUE(RIGHT(K$8,1)),1,0),1) )</f>
        <v/>
      </c>
      <c r="L13" s="3" t="str" cm="1">
        <f t="array" aca="1" ref="L13" ca="1">IF( OutlineLevel&lt;VALUE(RIGHT(L$8,1)), "",  IF( ISNUMBER(OFFSET(L13,-1,0)), OFFSET(L13,-1,0)+IF(OutlineLevel=VALUE(RIGHT(L$8,1)),1,0),1) )</f>
        <v/>
      </c>
      <c r="M13" s="3" t="str" cm="1">
        <f t="array" aca="1" ref="M13" ca="1">IF( OutlineLevel&lt;VALUE(RIGHT(M$8,1)), "",  IF( ISNUMBER(OFFSET(M13,-1,0)), OFFSET(M13,-1,0)+IF(OutlineLevel=VALUE(RIGHT(M$8,1)),1,0),1) )</f>
        <v/>
      </c>
      <c r="N13" s="3" t="str" cm="1">
        <f t="array" aca="1" ref="N13" ca="1">IF( OutlineLevel&lt;VALUE(RIGHT(N$8,1)), "",  IF( ISNUMBER(OFFSET(N13,-1,0)), OFFSET(N13,-1,0)+IF(OutlineLevel=VALUE(RIGHT(N$8,1)),1,0),1) )</f>
        <v/>
      </c>
      <c r="O13" s="3" t="str" cm="1">
        <f t="array" aca="1" ref="O13" ca="1">IF( OutlineLevel&lt;VALUE(RIGHT(O$8,1)), "",  IF( ISNUMBER(OFFSET(O13,-1,0)), OFFSET(O13,-1,0)+IF(OutlineLevel=VALUE(RIGHT(O$8,1)),1,0),1) )</f>
        <v/>
      </c>
      <c r="P13" s="3" t="b">
        <f ca="1">Table14[[#This Row],[Level]]&lt;OFFSET(P13,1,1)</f>
        <v>1</v>
      </c>
      <c r="Q13" s="3" cm="1">
        <f t="array" ref="Q13">OutlineLevel</f>
        <v>1</v>
      </c>
    </row>
    <row r="14" spans="1:17" ht="30" outlineLevel="1" x14ac:dyDescent="0.25">
      <c r="A14"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ECM:3.1</v>
      </c>
      <c r="B14" s="3" t="s">
        <v>25</v>
      </c>
      <c r="C14" s="4" t="s">
        <v>60</v>
      </c>
      <c r="D14" s="4"/>
      <c r="E14" s="7"/>
      <c r="F14" s="7"/>
      <c r="G14" s="4"/>
      <c r="H14" s="4"/>
      <c r="I14" s="4"/>
      <c r="J14" s="3" cm="1">
        <f t="array" aca="1" ref="J14" ca="1">IF( OutlineLevel&lt;VALUE(RIGHT(J$8,1)), "",  IF( ISNUMBER(OFFSET(J14,-1,0)), OFFSET(J14,-1,0)+IF(OutlineLevel=VALUE(RIGHT(J$8,1)),1,0),1) )</f>
        <v>3</v>
      </c>
      <c r="K14" s="3" cm="1">
        <f t="array" aca="1" ref="K14" ca="1">IF( OutlineLevel&lt;VALUE(RIGHT(K$8,1)), "",  IF( ISNUMBER(OFFSET(K14,-1,0)), OFFSET(K14,-1,0)+IF(OutlineLevel=VALUE(RIGHT(K$8,1)),1,0),1) )</f>
        <v>1</v>
      </c>
      <c r="L14" s="3" t="str" cm="1">
        <f t="array" aca="1" ref="L14" ca="1">IF( OutlineLevel&lt;VALUE(RIGHT(L$8,1)), "",  IF( ISNUMBER(OFFSET(L14,-1,0)), OFFSET(L14,-1,0)+IF(OutlineLevel=VALUE(RIGHT(L$8,1)),1,0),1) )</f>
        <v/>
      </c>
      <c r="M14" s="3" t="str" cm="1">
        <f t="array" aca="1" ref="M14" ca="1">IF( OutlineLevel&lt;VALUE(RIGHT(M$8,1)), "",  IF( ISNUMBER(OFFSET(M14,-1,0)), OFFSET(M14,-1,0)+IF(OutlineLevel=VALUE(RIGHT(M$8,1)),1,0),1) )</f>
        <v/>
      </c>
      <c r="N14" s="3" t="str" cm="1">
        <f t="array" aca="1" ref="N14" ca="1">IF( OutlineLevel&lt;VALUE(RIGHT(N$8,1)), "",  IF( ISNUMBER(OFFSET(N14,-1,0)), OFFSET(N14,-1,0)+IF(OutlineLevel=VALUE(RIGHT(N$8,1)),1,0),1) )</f>
        <v/>
      </c>
      <c r="O14" s="3" t="str" cm="1">
        <f t="array" aca="1" ref="O14" ca="1">IF( OutlineLevel&lt;VALUE(RIGHT(O$8,1)), "",  IF( ISNUMBER(OFFSET(O14,-1,0)), OFFSET(O14,-1,0)+IF(OutlineLevel=VALUE(RIGHT(O$8,1)),1,0),1) )</f>
        <v/>
      </c>
      <c r="P14" s="3" t="b">
        <f ca="1">Table14[[#This Row],[Level]]&lt;OFFSET(P14,1,1)</f>
        <v>0</v>
      </c>
      <c r="Q14" s="3" cm="1">
        <f t="array" ref="Q14">OutlineLevel</f>
        <v>2</v>
      </c>
    </row>
    <row r="15" spans="1:17" x14ac:dyDescent="0.25">
      <c r="A15"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ECM:4</v>
      </c>
      <c r="B15" s="3" t="s">
        <v>35</v>
      </c>
      <c r="C15" s="4" t="s">
        <v>61</v>
      </c>
      <c r="D15" s="4"/>
      <c r="E15" s="7"/>
      <c r="F15" s="7"/>
      <c r="G15" s="4"/>
      <c r="H15" s="4"/>
      <c r="I15" s="4"/>
      <c r="J15" s="3" cm="1">
        <f t="array" aca="1" ref="J15" ca="1">IF( OutlineLevel&lt;VALUE(RIGHT(J$8,1)), "",  IF( ISNUMBER(OFFSET(J15,-1,0)), OFFSET(J15,-1,0)+IF(OutlineLevel=VALUE(RIGHT(J$8,1)),1,0),1) )</f>
        <v>4</v>
      </c>
      <c r="K15" s="3" t="str" cm="1">
        <f t="array" aca="1" ref="K15" ca="1">IF( OutlineLevel&lt;VALUE(RIGHT(K$8,1)), "",  IF( ISNUMBER(OFFSET(K15,-1,0)), OFFSET(K15,-1,0)+IF(OutlineLevel=VALUE(RIGHT(K$8,1)),1,0),1) )</f>
        <v/>
      </c>
      <c r="L15" s="3" t="str" cm="1">
        <f t="array" aca="1" ref="L15" ca="1">IF( OutlineLevel&lt;VALUE(RIGHT(L$8,1)), "",  IF( ISNUMBER(OFFSET(L15,-1,0)), OFFSET(L15,-1,0)+IF(OutlineLevel=VALUE(RIGHT(L$8,1)),1,0),1) )</f>
        <v/>
      </c>
      <c r="M15" s="3" t="str" cm="1">
        <f t="array" aca="1" ref="M15" ca="1">IF( OutlineLevel&lt;VALUE(RIGHT(M$8,1)), "",  IF( ISNUMBER(OFFSET(M15,-1,0)), OFFSET(M15,-1,0)+IF(OutlineLevel=VALUE(RIGHT(M$8,1)),1,0),1) )</f>
        <v/>
      </c>
      <c r="N15" s="3" t="str" cm="1">
        <f t="array" aca="1" ref="N15" ca="1">IF( OutlineLevel&lt;VALUE(RIGHT(N$8,1)), "",  IF( ISNUMBER(OFFSET(N15,-1,0)), OFFSET(N15,-1,0)+IF(OutlineLevel=VALUE(RIGHT(N$8,1)),1,0),1) )</f>
        <v/>
      </c>
      <c r="O15" s="3" t="str" cm="1">
        <f t="array" aca="1" ref="O15" ca="1">IF( OutlineLevel&lt;VALUE(RIGHT(O$8,1)), "",  IF( ISNUMBER(OFFSET(O15,-1,0)), OFFSET(O15,-1,0)+IF(OutlineLevel=VALUE(RIGHT(O$8,1)),1,0),1) )</f>
        <v/>
      </c>
      <c r="P15" s="3" t="b">
        <f ca="1">Table14[[#This Row],[Level]]&lt;OFFSET(P15,1,1)</f>
        <v>1</v>
      </c>
      <c r="Q15" s="3" cm="1">
        <f t="array" ref="Q15">OutlineLevel</f>
        <v>1</v>
      </c>
    </row>
    <row r="16" spans="1:17" ht="30" outlineLevel="1" x14ac:dyDescent="0.25">
      <c r="A16"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ECM:4.1</v>
      </c>
      <c r="B16" s="3" t="s">
        <v>24</v>
      </c>
      <c r="C16" s="4" t="s">
        <v>62</v>
      </c>
      <c r="D16" s="4"/>
      <c r="E16" s="7"/>
      <c r="F16" s="7"/>
      <c r="G16" s="4"/>
      <c r="H16" s="4"/>
      <c r="I16" s="4"/>
      <c r="J16" s="3" cm="1">
        <f t="array" aca="1" ref="J16" ca="1">IF( OutlineLevel&lt;VALUE(RIGHT(J$8,1)), "",  IF( ISNUMBER(OFFSET(J16,-1,0)), OFFSET(J16,-1,0)+IF(OutlineLevel=VALUE(RIGHT(J$8,1)),1,0),1) )</f>
        <v>4</v>
      </c>
      <c r="K16" s="3" cm="1">
        <f t="array" aca="1" ref="K16" ca="1">IF( OutlineLevel&lt;VALUE(RIGHT(K$8,1)), "",  IF( ISNUMBER(OFFSET(K16,-1,0)), OFFSET(K16,-1,0)+IF(OutlineLevel=VALUE(RIGHT(K$8,1)),1,0),1) )</f>
        <v>1</v>
      </c>
      <c r="L16" s="3" t="str" cm="1">
        <f t="array" aca="1" ref="L16" ca="1">IF( OutlineLevel&lt;VALUE(RIGHT(L$8,1)), "",  IF( ISNUMBER(OFFSET(L16,-1,0)), OFFSET(L16,-1,0)+IF(OutlineLevel=VALUE(RIGHT(L$8,1)),1,0),1) )</f>
        <v/>
      </c>
      <c r="M16" s="3" t="str" cm="1">
        <f t="array" aca="1" ref="M16" ca="1">IF( OutlineLevel&lt;VALUE(RIGHT(M$8,1)), "",  IF( ISNUMBER(OFFSET(M16,-1,0)), OFFSET(M16,-1,0)+IF(OutlineLevel=VALUE(RIGHT(M$8,1)),1,0),1) )</f>
        <v/>
      </c>
      <c r="N16" s="3" t="str" cm="1">
        <f t="array" aca="1" ref="N16" ca="1">IF( OutlineLevel&lt;VALUE(RIGHT(N$8,1)), "",  IF( ISNUMBER(OFFSET(N16,-1,0)), OFFSET(N16,-1,0)+IF(OutlineLevel=VALUE(RIGHT(N$8,1)),1,0),1) )</f>
        <v/>
      </c>
      <c r="O16" s="3" t="str" cm="1">
        <f t="array" aca="1" ref="O16" ca="1">IF( OutlineLevel&lt;VALUE(RIGHT(O$8,1)), "",  IF( ISNUMBER(OFFSET(O16,-1,0)), OFFSET(O16,-1,0)+IF(OutlineLevel=VALUE(RIGHT(O$8,1)),1,0),1) )</f>
        <v/>
      </c>
      <c r="P16" s="3" t="b">
        <f ca="1">Table14[[#This Row],[Level]]&lt;OFFSET(P16,1,1)</f>
        <v>0</v>
      </c>
      <c r="Q16" s="3" cm="1">
        <f t="array" ref="Q16">OutlineLevel</f>
        <v>2</v>
      </c>
    </row>
    <row r="17" spans="1:17" ht="30" outlineLevel="1" x14ac:dyDescent="0.25">
      <c r="A17"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ECM:4.2</v>
      </c>
      <c r="B17" s="3" t="s">
        <v>24</v>
      </c>
      <c r="C17" s="4" t="s">
        <v>63</v>
      </c>
      <c r="D17" s="4"/>
      <c r="E17" s="7"/>
      <c r="F17" s="7"/>
      <c r="G17" s="4"/>
      <c r="H17" s="4"/>
      <c r="I17" s="4"/>
      <c r="J17" s="3" cm="1">
        <f t="array" aca="1" ref="J17" ca="1">IF( OutlineLevel&lt;VALUE(RIGHT(J$8,1)), "",  IF( ISNUMBER(OFFSET(J17,-1,0)), OFFSET(J17,-1,0)+IF(OutlineLevel=VALUE(RIGHT(J$8,1)),1,0),1) )</f>
        <v>4</v>
      </c>
      <c r="K17" s="3" cm="1">
        <f t="array" aca="1" ref="K17" ca="1">IF( OutlineLevel&lt;VALUE(RIGHT(K$8,1)), "",  IF( ISNUMBER(OFFSET(K17,-1,0)), OFFSET(K17,-1,0)+IF(OutlineLevel=VALUE(RIGHT(K$8,1)),1,0),1) )</f>
        <v>2</v>
      </c>
      <c r="L17" s="3" t="str" cm="1">
        <f t="array" aca="1" ref="L17" ca="1">IF( OutlineLevel&lt;VALUE(RIGHT(L$8,1)), "",  IF( ISNUMBER(OFFSET(L17,-1,0)), OFFSET(L17,-1,0)+IF(OutlineLevel=VALUE(RIGHT(L$8,1)),1,0),1) )</f>
        <v/>
      </c>
      <c r="M17" s="3" t="str" cm="1">
        <f t="array" aca="1" ref="M17" ca="1">IF( OutlineLevel&lt;VALUE(RIGHT(M$8,1)), "",  IF( ISNUMBER(OFFSET(M17,-1,0)), OFFSET(M17,-1,0)+IF(OutlineLevel=VALUE(RIGHT(M$8,1)),1,0),1) )</f>
        <v/>
      </c>
      <c r="N17" s="3" t="str" cm="1">
        <f t="array" aca="1" ref="N17" ca="1">IF( OutlineLevel&lt;VALUE(RIGHT(N$8,1)), "",  IF( ISNUMBER(OFFSET(N17,-1,0)), OFFSET(N17,-1,0)+IF(OutlineLevel=VALUE(RIGHT(N$8,1)),1,0),1) )</f>
        <v/>
      </c>
      <c r="O17" s="3" t="str" cm="1">
        <f t="array" aca="1" ref="O17" ca="1">IF( OutlineLevel&lt;VALUE(RIGHT(O$8,1)), "",  IF( ISNUMBER(OFFSET(O17,-1,0)), OFFSET(O17,-1,0)+IF(OutlineLevel=VALUE(RIGHT(O$8,1)),1,0),1) )</f>
        <v/>
      </c>
      <c r="P17" s="3" t="b">
        <f ca="1">Table14[[#This Row],[Level]]&lt;OFFSET(P17,1,1)</f>
        <v>0</v>
      </c>
      <c r="Q17" s="3" cm="1">
        <f t="array" ref="Q17">OutlineLevel</f>
        <v>2</v>
      </c>
    </row>
    <row r="18" spans="1:17" x14ac:dyDescent="0.25">
      <c r="A18"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ECM:5</v>
      </c>
      <c r="B18" s="3" t="s">
        <v>35</v>
      </c>
      <c r="C18" s="4" t="s">
        <v>64</v>
      </c>
      <c r="D18" s="4"/>
      <c r="E18" s="7"/>
      <c r="F18" s="7"/>
      <c r="G18" s="4"/>
      <c r="H18" s="4"/>
      <c r="I18" s="4"/>
      <c r="J18" s="3" cm="1">
        <f t="array" aca="1" ref="J18" ca="1">IF( OutlineLevel&lt;VALUE(RIGHT(J$8,1)), "",  IF( ISNUMBER(OFFSET(J18,-1,0)), OFFSET(J18,-1,0)+IF(OutlineLevel=VALUE(RIGHT(J$8,1)),1,0),1) )</f>
        <v>5</v>
      </c>
      <c r="K18" s="3" t="str" cm="1">
        <f t="array" aca="1" ref="K18" ca="1">IF( OutlineLevel&lt;VALUE(RIGHT(K$8,1)), "",  IF( ISNUMBER(OFFSET(K18,-1,0)), OFFSET(K18,-1,0)+IF(OutlineLevel=VALUE(RIGHT(K$8,1)),1,0),1) )</f>
        <v/>
      </c>
      <c r="L18" s="3" t="str" cm="1">
        <f t="array" aca="1" ref="L18" ca="1">IF( OutlineLevel&lt;VALUE(RIGHT(L$8,1)), "",  IF( ISNUMBER(OFFSET(L18,-1,0)), OFFSET(L18,-1,0)+IF(OutlineLevel=VALUE(RIGHT(L$8,1)),1,0),1) )</f>
        <v/>
      </c>
      <c r="M18" s="3" t="str" cm="1">
        <f t="array" aca="1" ref="M18" ca="1">IF( OutlineLevel&lt;VALUE(RIGHT(M$8,1)), "",  IF( ISNUMBER(OFFSET(M18,-1,0)), OFFSET(M18,-1,0)+IF(OutlineLevel=VALUE(RIGHT(M$8,1)),1,0),1) )</f>
        <v/>
      </c>
      <c r="N18" s="3" t="str" cm="1">
        <f t="array" aca="1" ref="N18" ca="1">IF( OutlineLevel&lt;VALUE(RIGHT(N$8,1)), "",  IF( ISNUMBER(OFFSET(N18,-1,0)), OFFSET(N18,-1,0)+IF(OutlineLevel=VALUE(RIGHT(N$8,1)),1,0),1) )</f>
        <v/>
      </c>
      <c r="O18" s="3" t="str" cm="1">
        <f t="array" aca="1" ref="O18" ca="1">IF( OutlineLevel&lt;VALUE(RIGHT(O$8,1)), "",  IF( ISNUMBER(OFFSET(O18,-1,0)), OFFSET(O18,-1,0)+IF(OutlineLevel=VALUE(RIGHT(O$8,1)),1,0),1) )</f>
        <v/>
      </c>
      <c r="P18" s="3" t="b">
        <f ca="1">Table14[[#This Row],[Level]]&lt;OFFSET(P18,1,1)</f>
        <v>1</v>
      </c>
      <c r="Q18" s="3" cm="1">
        <f t="array" ref="Q18">OutlineLevel</f>
        <v>1</v>
      </c>
    </row>
    <row r="19" spans="1:17" ht="75" outlineLevel="1" x14ac:dyDescent="0.25">
      <c r="A19"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ECM:5.1</v>
      </c>
      <c r="B19" s="3" t="s">
        <v>24</v>
      </c>
      <c r="C19" s="4" t="s">
        <v>65</v>
      </c>
      <c r="D19" s="4"/>
      <c r="E19" s="7"/>
      <c r="F19" s="7"/>
      <c r="G19" s="4" t="s">
        <v>67</v>
      </c>
      <c r="H19" s="4"/>
      <c r="I19" s="4" t="s">
        <v>68</v>
      </c>
      <c r="J19" s="3" cm="1">
        <f t="array" aca="1" ref="J19" ca="1">IF( OutlineLevel&lt;VALUE(RIGHT(J$8,1)), "",  IF( ISNUMBER(OFFSET(J19,-1,0)), OFFSET(J19,-1,0)+IF(OutlineLevel=VALUE(RIGHT(J$8,1)),1,0),1) )</f>
        <v>5</v>
      </c>
      <c r="K19" s="3" cm="1">
        <f t="array" aca="1" ref="K19" ca="1">IF( OutlineLevel&lt;VALUE(RIGHT(K$8,1)), "",  IF( ISNUMBER(OFFSET(K19,-1,0)), OFFSET(K19,-1,0)+IF(OutlineLevel=VALUE(RIGHT(K$8,1)),1,0),1) )</f>
        <v>1</v>
      </c>
      <c r="L19" s="3" t="str" cm="1">
        <f t="array" aca="1" ref="L19" ca="1">IF( OutlineLevel&lt;VALUE(RIGHT(L$8,1)), "",  IF( ISNUMBER(OFFSET(L19,-1,0)), OFFSET(L19,-1,0)+IF(OutlineLevel=VALUE(RIGHT(L$8,1)),1,0),1) )</f>
        <v/>
      </c>
      <c r="M19" s="3" t="str" cm="1">
        <f t="array" aca="1" ref="M19" ca="1">IF( OutlineLevel&lt;VALUE(RIGHT(M$8,1)), "",  IF( ISNUMBER(OFFSET(M19,-1,0)), OFFSET(M19,-1,0)+IF(OutlineLevel=VALUE(RIGHT(M$8,1)),1,0),1) )</f>
        <v/>
      </c>
      <c r="N19" s="3" t="str" cm="1">
        <f t="array" aca="1" ref="N19" ca="1">IF( OutlineLevel&lt;VALUE(RIGHT(N$8,1)), "",  IF( ISNUMBER(OFFSET(N19,-1,0)), OFFSET(N19,-1,0)+IF(OutlineLevel=VALUE(RIGHT(N$8,1)),1,0),1) )</f>
        <v/>
      </c>
      <c r="O19" s="3" t="str" cm="1">
        <f t="array" aca="1" ref="O19" ca="1">IF( OutlineLevel&lt;VALUE(RIGHT(O$8,1)), "",  IF( ISNUMBER(OFFSET(O19,-1,0)), OFFSET(O19,-1,0)+IF(OutlineLevel=VALUE(RIGHT(O$8,1)),1,0),1) )</f>
        <v/>
      </c>
      <c r="P19" s="3" t="b">
        <f ca="1">Table14[[#This Row],[Level]]&lt;OFFSET(P19,1,1)</f>
        <v>0</v>
      </c>
      <c r="Q19" s="3" cm="1">
        <f t="array" ref="Q19">OutlineLevel</f>
        <v>2</v>
      </c>
    </row>
    <row r="20" spans="1:17" ht="45" outlineLevel="1" x14ac:dyDescent="0.25">
      <c r="A20"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ECM:5.2</v>
      </c>
      <c r="B20" s="3" t="s">
        <v>24</v>
      </c>
      <c r="C20" s="4" t="s">
        <v>66</v>
      </c>
      <c r="D20" s="4"/>
      <c r="E20" s="7"/>
      <c r="F20" s="7"/>
      <c r="G20" s="4" t="s">
        <v>69</v>
      </c>
      <c r="H20" s="4"/>
      <c r="I20" s="4"/>
      <c r="J20" s="3" cm="1">
        <f t="array" aca="1" ref="J20" ca="1">IF( OutlineLevel&lt;VALUE(RIGHT(J$8,1)), "",  IF( ISNUMBER(OFFSET(J20,-1,0)), OFFSET(J20,-1,0)+IF(OutlineLevel=VALUE(RIGHT(J$8,1)),1,0),1) )</f>
        <v>5</v>
      </c>
      <c r="K20" s="3" cm="1">
        <f t="array" aca="1" ref="K20" ca="1">IF( OutlineLevel&lt;VALUE(RIGHT(K$8,1)), "",  IF( ISNUMBER(OFFSET(K20,-1,0)), OFFSET(K20,-1,0)+IF(OutlineLevel=VALUE(RIGHT(K$8,1)),1,0),1) )</f>
        <v>2</v>
      </c>
      <c r="L20" s="3" t="str" cm="1">
        <f t="array" aca="1" ref="L20" ca="1">IF( OutlineLevel&lt;VALUE(RIGHT(L$8,1)), "",  IF( ISNUMBER(OFFSET(L20,-1,0)), OFFSET(L20,-1,0)+IF(OutlineLevel=VALUE(RIGHT(L$8,1)),1,0),1) )</f>
        <v/>
      </c>
      <c r="M20" s="3" t="str" cm="1">
        <f t="array" aca="1" ref="M20" ca="1">IF( OutlineLevel&lt;VALUE(RIGHT(M$8,1)), "",  IF( ISNUMBER(OFFSET(M20,-1,0)), OFFSET(M20,-1,0)+IF(OutlineLevel=VALUE(RIGHT(M$8,1)),1,0),1) )</f>
        <v/>
      </c>
      <c r="N20" s="3" t="str" cm="1">
        <f t="array" aca="1" ref="N20" ca="1">IF( OutlineLevel&lt;VALUE(RIGHT(N$8,1)), "",  IF( ISNUMBER(OFFSET(N20,-1,0)), OFFSET(N20,-1,0)+IF(OutlineLevel=VALUE(RIGHT(N$8,1)),1,0),1) )</f>
        <v/>
      </c>
      <c r="O20" s="3" t="str" cm="1">
        <f t="array" aca="1" ref="O20" ca="1">IF( OutlineLevel&lt;VALUE(RIGHT(O$8,1)), "",  IF( ISNUMBER(OFFSET(O20,-1,0)), OFFSET(O20,-1,0)+IF(OutlineLevel=VALUE(RIGHT(O$8,1)),1,0),1) )</f>
        <v/>
      </c>
      <c r="P20" s="3" t="b">
        <f ca="1">Table14[[#This Row],[Level]]&lt;OFFSET(P20,1,1)</f>
        <v>0</v>
      </c>
      <c r="Q20" s="3" cm="1">
        <f t="array" ref="Q20">OutlineLevel</f>
        <v>2</v>
      </c>
    </row>
    <row r="21" spans="1:17" ht="120" outlineLevel="1" x14ac:dyDescent="0.25">
      <c r="A21"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ECM:5.3</v>
      </c>
      <c r="B21" s="3" t="s">
        <v>24</v>
      </c>
      <c r="C21" s="4" t="s">
        <v>70</v>
      </c>
      <c r="D21" s="4"/>
      <c r="E21" s="7"/>
      <c r="F21" s="7"/>
      <c r="G21" s="4" t="s">
        <v>71</v>
      </c>
      <c r="H21" s="4"/>
      <c r="I21" s="4"/>
      <c r="J21" s="3" cm="1">
        <f t="array" aca="1" ref="J21" ca="1">IF( OutlineLevel&lt;VALUE(RIGHT(J$8,1)), "",  IF( ISNUMBER(OFFSET(J21,-1,0)), OFFSET(J21,-1,0)+IF(OutlineLevel=VALUE(RIGHT(J$8,1)),1,0),1) )</f>
        <v>5</v>
      </c>
      <c r="K21" s="3" cm="1">
        <f t="array" aca="1" ref="K21" ca="1">IF( OutlineLevel&lt;VALUE(RIGHT(K$8,1)), "",  IF( ISNUMBER(OFFSET(K21,-1,0)), OFFSET(K21,-1,0)+IF(OutlineLevel=VALUE(RIGHT(K$8,1)),1,0),1) )</f>
        <v>3</v>
      </c>
      <c r="L21" s="3" t="str" cm="1">
        <f t="array" aca="1" ref="L21" ca="1">IF( OutlineLevel&lt;VALUE(RIGHT(L$8,1)), "",  IF( ISNUMBER(OFFSET(L21,-1,0)), OFFSET(L21,-1,0)+IF(OutlineLevel=VALUE(RIGHT(L$8,1)),1,0),1) )</f>
        <v/>
      </c>
      <c r="M21" s="3" t="str" cm="1">
        <f t="array" aca="1" ref="M21" ca="1">IF( OutlineLevel&lt;VALUE(RIGHT(M$8,1)), "",  IF( ISNUMBER(OFFSET(M21,-1,0)), OFFSET(M21,-1,0)+IF(OutlineLevel=VALUE(RIGHT(M$8,1)),1,0),1) )</f>
        <v/>
      </c>
      <c r="N21" s="3" t="str" cm="1">
        <f t="array" aca="1" ref="N21" ca="1">IF( OutlineLevel&lt;VALUE(RIGHT(N$8,1)), "",  IF( ISNUMBER(OFFSET(N21,-1,0)), OFFSET(N21,-1,0)+IF(OutlineLevel=VALUE(RIGHT(N$8,1)),1,0),1) )</f>
        <v/>
      </c>
      <c r="O21" s="3" t="str" cm="1">
        <f t="array" aca="1" ref="O21" ca="1">IF( OutlineLevel&lt;VALUE(RIGHT(O$8,1)), "",  IF( ISNUMBER(OFFSET(O21,-1,0)), OFFSET(O21,-1,0)+IF(OutlineLevel=VALUE(RIGHT(O$8,1)),1,0),1) )</f>
        <v/>
      </c>
      <c r="P21" s="3" t="b">
        <f ca="1">Table14[[#This Row],[Level]]&lt;OFFSET(P21,1,1)</f>
        <v>0</v>
      </c>
      <c r="Q21" s="3" cm="1">
        <f t="array" ref="Q21">OutlineLevel</f>
        <v>2</v>
      </c>
    </row>
    <row r="22" spans="1:17" outlineLevel="1" x14ac:dyDescent="0.25">
      <c r="A22"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ECM:5.4</v>
      </c>
      <c r="B22" s="3" t="s">
        <v>24</v>
      </c>
      <c r="C22" s="4" t="s">
        <v>72</v>
      </c>
      <c r="D22" s="4"/>
      <c r="E22" s="7"/>
      <c r="F22" s="7"/>
      <c r="G22" s="4"/>
      <c r="H22" s="4"/>
      <c r="I22" s="4"/>
      <c r="J22" s="3" cm="1">
        <f t="array" aca="1" ref="J22" ca="1">IF( OutlineLevel&lt;VALUE(RIGHT(J$8,1)), "",  IF( ISNUMBER(OFFSET(J22,-1,0)), OFFSET(J22,-1,0)+IF(OutlineLevel=VALUE(RIGHT(J$8,1)),1,0),1) )</f>
        <v>5</v>
      </c>
      <c r="K22" s="3" cm="1">
        <f t="array" aca="1" ref="K22" ca="1">IF( OutlineLevel&lt;VALUE(RIGHT(K$8,1)), "",  IF( ISNUMBER(OFFSET(K22,-1,0)), OFFSET(K22,-1,0)+IF(OutlineLevel=VALUE(RIGHT(K$8,1)),1,0),1) )</f>
        <v>4</v>
      </c>
      <c r="L22" s="3" t="str" cm="1">
        <f t="array" aca="1" ref="L22" ca="1">IF( OutlineLevel&lt;VALUE(RIGHT(L$8,1)), "",  IF( ISNUMBER(OFFSET(L22,-1,0)), OFFSET(L22,-1,0)+IF(OutlineLevel=VALUE(RIGHT(L$8,1)),1,0),1) )</f>
        <v/>
      </c>
      <c r="M22" s="3" t="str" cm="1">
        <f t="array" aca="1" ref="M22" ca="1">IF( OutlineLevel&lt;VALUE(RIGHT(M$8,1)), "",  IF( ISNUMBER(OFFSET(M22,-1,0)), OFFSET(M22,-1,0)+IF(OutlineLevel=VALUE(RIGHT(M$8,1)),1,0),1) )</f>
        <v/>
      </c>
      <c r="N22" s="3" t="str" cm="1">
        <f t="array" aca="1" ref="N22" ca="1">IF( OutlineLevel&lt;VALUE(RIGHT(N$8,1)), "",  IF( ISNUMBER(OFFSET(N22,-1,0)), OFFSET(N22,-1,0)+IF(OutlineLevel=VALUE(RIGHT(N$8,1)),1,0),1) )</f>
        <v/>
      </c>
      <c r="O22" s="3" t="str" cm="1">
        <f t="array" aca="1" ref="O22" ca="1">IF( OutlineLevel&lt;VALUE(RIGHT(O$8,1)), "",  IF( ISNUMBER(OFFSET(O22,-1,0)), OFFSET(O22,-1,0)+IF(OutlineLevel=VALUE(RIGHT(O$8,1)),1,0),1) )</f>
        <v/>
      </c>
      <c r="P22" s="3" t="b">
        <f ca="1">Table14[[#This Row],[Level]]&lt;OFFSET(P22,1,1)</f>
        <v>0</v>
      </c>
      <c r="Q22" s="3" cm="1">
        <f t="array" ref="Q22">OutlineLevel</f>
        <v>2</v>
      </c>
    </row>
    <row r="23" spans="1:17" ht="30" outlineLevel="1" x14ac:dyDescent="0.25">
      <c r="A23"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ECM:5.5</v>
      </c>
      <c r="B23" s="3" t="s">
        <v>24</v>
      </c>
      <c r="C23" s="4" t="s">
        <v>73</v>
      </c>
      <c r="D23" s="4"/>
      <c r="E23" s="7"/>
      <c r="F23" s="7"/>
      <c r="G23" s="4"/>
      <c r="H23" s="4"/>
      <c r="I23" s="4"/>
      <c r="J23" s="3" cm="1">
        <f t="array" aca="1" ref="J23" ca="1">IF( OutlineLevel&lt;VALUE(RIGHT(J$8,1)), "",  IF( ISNUMBER(OFFSET(J23,-1,0)), OFFSET(J23,-1,0)+IF(OutlineLevel=VALUE(RIGHT(J$8,1)),1,0),1) )</f>
        <v>5</v>
      </c>
      <c r="K23" s="3" cm="1">
        <f t="array" aca="1" ref="K23" ca="1">IF( OutlineLevel&lt;VALUE(RIGHT(K$8,1)), "",  IF( ISNUMBER(OFFSET(K23,-1,0)), OFFSET(K23,-1,0)+IF(OutlineLevel=VALUE(RIGHT(K$8,1)),1,0),1) )</f>
        <v>5</v>
      </c>
      <c r="L23" s="3" t="str" cm="1">
        <f t="array" aca="1" ref="L23" ca="1">IF( OutlineLevel&lt;VALUE(RIGHT(L$8,1)), "",  IF( ISNUMBER(OFFSET(L23,-1,0)), OFFSET(L23,-1,0)+IF(OutlineLevel=VALUE(RIGHT(L$8,1)),1,0),1) )</f>
        <v/>
      </c>
      <c r="M23" s="3" t="str" cm="1">
        <f t="array" aca="1" ref="M23" ca="1">IF( OutlineLevel&lt;VALUE(RIGHT(M$8,1)), "",  IF( ISNUMBER(OFFSET(M23,-1,0)), OFFSET(M23,-1,0)+IF(OutlineLevel=VALUE(RIGHT(M$8,1)),1,0),1) )</f>
        <v/>
      </c>
      <c r="N23" s="3" t="str" cm="1">
        <f t="array" aca="1" ref="N23" ca="1">IF( OutlineLevel&lt;VALUE(RIGHT(N$8,1)), "",  IF( ISNUMBER(OFFSET(N23,-1,0)), OFFSET(N23,-1,0)+IF(OutlineLevel=VALUE(RIGHT(N$8,1)),1,0),1) )</f>
        <v/>
      </c>
      <c r="O23" s="3" t="str" cm="1">
        <f t="array" aca="1" ref="O23" ca="1">IF( OutlineLevel&lt;VALUE(RIGHT(O$8,1)), "",  IF( ISNUMBER(OFFSET(O23,-1,0)), OFFSET(O23,-1,0)+IF(OutlineLevel=VALUE(RIGHT(O$8,1)),1,0),1) )</f>
        <v/>
      </c>
      <c r="P23" s="3" t="b">
        <f ca="1">Table14[[#This Row],[Level]]&lt;OFFSET(P23,1,1)</f>
        <v>0</v>
      </c>
      <c r="Q23" s="3" cm="1">
        <f t="array" ref="Q23">OutlineLevel</f>
        <v>2</v>
      </c>
    </row>
    <row r="24" spans="1:17" ht="30" outlineLevel="1" x14ac:dyDescent="0.25">
      <c r="A24"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ECM:5.6</v>
      </c>
      <c r="B24" s="3" t="s">
        <v>24</v>
      </c>
      <c r="C24" s="4" t="s">
        <v>74</v>
      </c>
      <c r="D24" s="4"/>
      <c r="E24" s="7"/>
      <c r="F24" s="7"/>
      <c r="G24" s="4"/>
      <c r="H24" s="4"/>
      <c r="I24" s="4"/>
      <c r="J24" s="3" cm="1">
        <f t="array" aca="1" ref="J24" ca="1">IF( OutlineLevel&lt;VALUE(RIGHT(J$8,1)), "",  IF( ISNUMBER(OFFSET(J24,-1,0)), OFFSET(J24,-1,0)+IF(OutlineLevel=VALUE(RIGHT(J$8,1)),1,0),1) )</f>
        <v>5</v>
      </c>
      <c r="K24" s="3" cm="1">
        <f t="array" aca="1" ref="K24" ca="1">IF( OutlineLevel&lt;VALUE(RIGHT(K$8,1)), "",  IF( ISNUMBER(OFFSET(K24,-1,0)), OFFSET(K24,-1,0)+IF(OutlineLevel=VALUE(RIGHT(K$8,1)),1,0),1) )</f>
        <v>6</v>
      </c>
      <c r="L24" s="3" t="str" cm="1">
        <f t="array" aca="1" ref="L24" ca="1">IF( OutlineLevel&lt;VALUE(RIGHT(L$8,1)), "",  IF( ISNUMBER(OFFSET(L24,-1,0)), OFFSET(L24,-1,0)+IF(OutlineLevel=VALUE(RIGHT(L$8,1)),1,0),1) )</f>
        <v/>
      </c>
      <c r="M24" s="3" t="str" cm="1">
        <f t="array" aca="1" ref="M24" ca="1">IF( OutlineLevel&lt;VALUE(RIGHT(M$8,1)), "",  IF( ISNUMBER(OFFSET(M24,-1,0)), OFFSET(M24,-1,0)+IF(OutlineLevel=VALUE(RIGHT(M$8,1)),1,0),1) )</f>
        <v/>
      </c>
      <c r="N24" s="3" t="str" cm="1">
        <f t="array" aca="1" ref="N24" ca="1">IF( OutlineLevel&lt;VALUE(RIGHT(N$8,1)), "",  IF( ISNUMBER(OFFSET(N24,-1,0)), OFFSET(N24,-1,0)+IF(OutlineLevel=VALUE(RIGHT(N$8,1)),1,0),1) )</f>
        <v/>
      </c>
      <c r="O24" s="3" t="str" cm="1">
        <f t="array" aca="1" ref="O24" ca="1">IF( OutlineLevel&lt;VALUE(RIGHT(O$8,1)), "",  IF( ISNUMBER(OFFSET(O24,-1,0)), OFFSET(O24,-1,0)+IF(OutlineLevel=VALUE(RIGHT(O$8,1)),1,0),1) )</f>
        <v/>
      </c>
      <c r="P24" s="3" t="b">
        <f ca="1">Table14[[#This Row],[Level]]&lt;OFFSET(P24,1,1)</f>
        <v>0</v>
      </c>
      <c r="Q24" s="3" cm="1">
        <f t="array" ref="Q24">OutlineLevel</f>
        <v>2</v>
      </c>
    </row>
    <row r="25" spans="1:17" ht="30" outlineLevel="1" x14ac:dyDescent="0.25">
      <c r="A25"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ECM:5.7</v>
      </c>
      <c r="B25" s="3" t="s">
        <v>24</v>
      </c>
      <c r="C25" s="4" t="s">
        <v>75</v>
      </c>
      <c r="D25" s="4"/>
      <c r="E25" s="7"/>
      <c r="F25" s="7"/>
      <c r="G25" s="4"/>
      <c r="H25" s="4"/>
      <c r="I25" s="4"/>
      <c r="J25" s="3" cm="1">
        <f t="array" aca="1" ref="J25" ca="1">IF( OutlineLevel&lt;VALUE(RIGHT(J$8,1)), "",  IF( ISNUMBER(OFFSET(J25,-1,0)), OFFSET(J25,-1,0)+IF(OutlineLevel=VALUE(RIGHT(J$8,1)),1,0),1) )</f>
        <v>5</v>
      </c>
      <c r="K25" s="3" cm="1">
        <f t="array" aca="1" ref="K25" ca="1">IF( OutlineLevel&lt;VALUE(RIGHT(K$8,1)), "",  IF( ISNUMBER(OFFSET(K25,-1,0)), OFFSET(K25,-1,0)+IF(OutlineLevel=VALUE(RIGHT(K$8,1)),1,0),1) )</f>
        <v>7</v>
      </c>
      <c r="L25" s="3" t="str" cm="1">
        <f t="array" aca="1" ref="L25" ca="1">IF( OutlineLevel&lt;VALUE(RIGHT(L$8,1)), "",  IF( ISNUMBER(OFFSET(L25,-1,0)), OFFSET(L25,-1,0)+IF(OutlineLevel=VALUE(RIGHT(L$8,1)),1,0),1) )</f>
        <v/>
      </c>
      <c r="M25" s="3" t="str" cm="1">
        <f t="array" aca="1" ref="M25" ca="1">IF( OutlineLevel&lt;VALUE(RIGHT(M$8,1)), "",  IF( ISNUMBER(OFFSET(M25,-1,0)), OFFSET(M25,-1,0)+IF(OutlineLevel=VALUE(RIGHT(M$8,1)),1,0),1) )</f>
        <v/>
      </c>
      <c r="N25" s="3" t="str" cm="1">
        <f t="array" aca="1" ref="N25" ca="1">IF( OutlineLevel&lt;VALUE(RIGHT(N$8,1)), "",  IF( ISNUMBER(OFFSET(N25,-1,0)), OFFSET(N25,-1,0)+IF(OutlineLevel=VALUE(RIGHT(N$8,1)),1,0),1) )</f>
        <v/>
      </c>
      <c r="O25" s="3" t="str" cm="1">
        <f t="array" aca="1" ref="O25" ca="1">IF( OutlineLevel&lt;VALUE(RIGHT(O$8,1)), "",  IF( ISNUMBER(OFFSET(O25,-1,0)), OFFSET(O25,-1,0)+IF(OutlineLevel=VALUE(RIGHT(O$8,1)),1,0),1) )</f>
        <v/>
      </c>
      <c r="P25" s="3" t="b">
        <f ca="1">Table14[[#This Row],[Level]]&lt;OFFSET(P25,1,1)</f>
        <v>0</v>
      </c>
      <c r="Q25" s="3" cm="1">
        <f t="array" ref="Q25">OutlineLevel</f>
        <v>2</v>
      </c>
    </row>
    <row r="26" spans="1:17" ht="30" outlineLevel="1" x14ac:dyDescent="0.25">
      <c r="A26"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ECM:5.8</v>
      </c>
      <c r="B26" s="3" t="s">
        <v>24</v>
      </c>
      <c r="C26" s="4" t="s">
        <v>76</v>
      </c>
      <c r="D26" s="4"/>
      <c r="E26" s="7"/>
      <c r="F26" s="7"/>
      <c r="G26" s="4" t="s">
        <v>83</v>
      </c>
      <c r="H26" s="4"/>
      <c r="I26" s="4"/>
      <c r="J26" s="3" cm="1">
        <f t="array" aca="1" ref="J26" ca="1">IF( OutlineLevel&lt;VALUE(RIGHT(J$8,1)), "",  IF( ISNUMBER(OFFSET(J26,-1,0)), OFFSET(J26,-1,0)+IF(OutlineLevel=VALUE(RIGHT(J$8,1)),1,0),1) )</f>
        <v>5</v>
      </c>
      <c r="K26" s="3" cm="1">
        <f t="array" aca="1" ref="K26" ca="1">IF( OutlineLevel&lt;VALUE(RIGHT(K$8,1)), "",  IF( ISNUMBER(OFFSET(K26,-1,0)), OFFSET(K26,-1,0)+IF(OutlineLevel=VALUE(RIGHT(K$8,1)),1,0),1) )</f>
        <v>8</v>
      </c>
      <c r="L26" s="3" t="str" cm="1">
        <f t="array" aca="1" ref="L26" ca="1">IF( OutlineLevel&lt;VALUE(RIGHT(L$8,1)), "",  IF( ISNUMBER(OFFSET(L26,-1,0)), OFFSET(L26,-1,0)+IF(OutlineLevel=VALUE(RIGHT(L$8,1)),1,0),1) )</f>
        <v/>
      </c>
      <c r="M26" s="3" t="str" cm="1">
        <f t="array" aca="1" ref="M26" ca="1">IF( OutlineLevel&lt;VALUE(RIGHT(M$8,1)), "",  IF( ISNUMBER(OFFSET(M26,-1,0)), OFFSET(M26,-1,0)+IF(OutlineLevel=VALUE(RIGHT(M$8,1)),1,0),1) )</f>
        <v/>
      </c>
      <c r="N26" s="3" t="str" cm="1">
        <f t="array" aca="1" ref="N26" ca="1">IF( OutlineLevel&lt;VALUE(RIGHT(N$8,1)), "",  IF( ISNUMBER(OFFSET(N26,-1,0)), OFFSET(N26,-1,0)+IF(OutlineLevel=VALUE(RIGHT(N$8,1)),1,0),1) )</f>
        <v/>
      </c>
      <c r="O26" s="3" t="str" cm="1">
        <f t="array" aca="1" ref="O26" ca="1">IF( OutlineLevel&lt;VALUE(RIGHT(O$8,1)), "",  IF( ISNUMBER(OFFSET(O26,-1,0)), OFFSET(O26,-1,0)+IF(OutlineLevel=VALUE(RIGHT(O$8,1)),1,0),1) )</f>
        <v/>
      </c>
      <c r="P26" s="3" t="b">
        <f ca="1">Table14[[#This Row],[Level]]&lt;OFFSET(P26,1,1)</f>
        <v>1</v>
      </c>
      <c r="Q26" s="3" cm="1">
        <f t="array" ref="Q26">OutlineLevel</f>
        <v>2</v>
      </c>
    </row>
    <row r="27" spans="1:17" ht="60" outlineLevel="2" x14ac:dyDescent="0.25">
      <c r="A27"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ECM:5.8.1</v>
      </c>
      <c r="B27" s="3" t="s">
        <v>24</v>
      </c>
      <c r="C27" s="4" t="s">
        <v>77</v>
      </c>
      <c r="D27" s="4" t="s">
        <v>81</v>
      </c>
      <c r="E27" s="7"/>
      <c r="F27" s="7"/>
      <c r="G27" s="4" t="s">
        <v>82</v>
      </c>
      <c r="H27" s="4"/>
      <c r="I27" s="4"/>
      <c r="J27" s="3" cm="1">
        <f t="array" aca="1" ref="J27" ca="1">IF( OutlineLevel&lt;VALUE(RIGHT(J$8,1)), "",  IF( ISNUMBER(OFFSET(J27,-1,0)), OFFSET(J27,-1,0)+IF(OutlineLevel=VALUE(RIGHT(J$8,1)),1,0),1) )</f>
        <v>5</v>
      </c>
      <c r="K27" s="3" cm="1">
        <f t="array" aca="1" ref="K27" ca="1">IF( OutlineLevel&lt;VALUE(RIGHT(K$8,1)), "",  IF( ISNUMBER(OFFSET(K27,-1,0)), OFFSET(K27,-1,0)+IF(OutlineLevel=VALUE(RIGHT(K$8,1)),1,0),1) )</f>
        <v>8</v>
      </c>
      <c r="L27" s="3" cm="1">
        <f t="array" aca="1" ref="L27" ca="1">IF( OutlineLevel&lt;VALUE(RIGHT(L$8,1)), "",  IF( ISNUMBER(OFFSET(L27,-1,0)), OFFSET(L27,-1,0)+IF(OutlineLevel=VALUE(RIGHT(L$8,1)),1,0),1) )</f>
        <v>1</v>
      </c>
      <c r="M27" s="3" t="str" cm="1">
        <f t="array" aca="1" ref="M27" ca="1">IF( OutlineLevel&lt;VALUE(RIGHT(M$8,1)), "",  IF( ISNUMBER(OFFSET(M27,-1,0)), OFFSET(M27,-1,0)+IF(OutlineLevel=VALUE(RIGHT(M$8,1)),1,0),1) )</f>
        <v/>
      </c>
      <c r="N27" s="3" t="str" cm="1">
        <f t="array" aca="1" ref="N27" ca="1">IF( OutlineLevel&lt;VALUE(RIGHT(N$8,1)), "",  IF( ISNUMBER(OFFSET(N27,-1,0)), OFFSET(N27,-1,0)+IF(OutlineLevel=VALUE(RIGHT(N$8,1)),1,0),1) )</f>
        <v/>
      </c>
      <c r="O27" s="3" t="str" cm="1">
        <f t="array" aca="1" ref="O27" ca="1">IF( OutlineLevel&lt;VALUE(RIGHT(O$8,1)), "",  IF( ISNUMBER(OFFSET(O27,-1,0)), OFFSET(O27,-1,0)+IF(OutlineLevel=VALUE(RIGHT(O$8,1)),1,0),1) )</f>
        <v/>
      </c>
      <c r="P27" s="3" t="b">
        <f ca="1">Table14[[#This Row],[Level]]&lt;OFFSET(P27,1,1)</f>
        <v>0</v>
      </c>
      <c r="Q27" s="3" cm="1">
        <f t="array" ref="Q27">OutlineLevel</f>
        <v>3</v>
      </c>
    </row>
    <row r="28" spans="1:17" ht="45" outlineLevel="2" x14ac:dyDescent="0.25">
      <c r="A28"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ECM:5.8.2</v>
      </c>
      <c r="B28" s="3" t="s">
        <v>24</v>
      </c>
      <c r="C28" s="4" t="s">
        <v>79</v>
      </c>
      <c r="D28" s="4" t="s">
        <v>80</v>
      </c>
      <c r="E28" s="7"/>
      <c r="F28" s="7"/>
      <c r="G28" s="4" t="s">
        <v>78</v>
      </c>
      <c r="H28" s="4"/>
      <c r="I28" s="4"/>
      <c r="J28" s="3" cm="1">
        <f t="array" aca="1" ref="J28" ca="1">IF( OutlineLevel&lt;VALUE(RIGHT(J$8,1)), "",  IF( ISNUMBER(OFFSET(J28,-1,0)), OFFSET(J28,-1,0)+IF(OutlineLevel=VALUE(RIGHT(J$8,1)),1,0),1) )</f>
        <v>5</v>
      </c>
      <c r="K28" s="3" cm="1">
        <f t="array" aca="1" ref="K28" ca="1">IF( OutlineLevel&lt;VALUE(RIGHT(K$8,1)), "",  IF( ISNUMBER(OFFSET(K28,-1,0)), OFFSET(K28,-1,0)+IF(OutlineLevel=VALUE(RIGHT(K$8,1)),1,0),1) )</f>
        <v>8</v>
      </c>
      <c r="L28" s="3" cm="1">
        <f t="array" aca="1" ref="L28" ca="1">IF( OutlineLevel&lt;VALUE(RIGHT(L$8,1)), "",  IF( ISNUMBER(OFFSET(L28,-1,0)), OFFSET(L28,-1,0)+IF(OutlineLevel=VALUE(RIGHT(L$8,1)),1,0),1) )</f>
        <v>2</v>
      </c>
      <c r="M28" s="3" t="str" cm="1">
        <f t="array" aca="1" ref="M28" ca="1">IF( OutlineLevel&lt;VALUE(RIGHT(M$8,1)), "",  IF( ISNUMBER(OFFSET(M28,-1,0)), OFFSET(M28,-1,0)+IF(OutlineLevel=VALUE(RIGHT(M$8,1)),1,0),1) )</f>
        <v/>
      </c>
      <c r="N28" s="3" t="str" cm="1">
        <f t="array" aca="1" ref="N28" ca="1">IF( OutlineLevel&lt;VALUE(RIGHT(N$8,1)), "",  IF( ISNUMBER(OFFSET(N28,-1,0)), OFFSET(N28,-1,0)+IF(OutlineLevel=VALUE(RIGHT(N$8,1)),1,0),1) )</f>
        <v/>
      </c>
      <c r="O28" s="3" t="str" cm="1">
        <f t="array" aca="1" ref="O28" ca="1">IF( OutlineLevel&lt;VALUE(RIGHT(O$8,1)), "",  IF( ISNUMBER(OFFSET(O28,-1,0)), OFFSET(O28,-1,0)+IF(OutlineLevel=VALUE(RIGHT(O$8,1)),1,0),1) )</f>
        <v/>
      </c>
      <c r="P28" s="3" t="b">
        <f ca="1">Table14[[#This Row],[Level]]&lt;OFFSET(P28,1,1)</f>
        <v>0</v>
      </c>
      <c r="Q28" s="3" cm="1">
        <f t="array" ref="Q28">OutlineLevel</f>
        <v>3</v>
      </c>
    </row>
    <row r="29" spans="1:17" x14ac:dyDescent="0.25">
      <c r="A29"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v>
      </c>
      <c r="B29" s="3" t="s">
        <v>35</v>
      </c>
      <c r="C29" s="4" t="s">
        <v>97</v>
      </c>
      <c r="D29" s="4"/>
      <c r="E29" s="7"/>
      <c r="F29" s="7"/>
      <c r="G29" s="4"/>
      <c r="H29" s="4"/>
      <c r="I29" s="4"/>
      <c r="J29" s="3" cm="1">
        <f t="array" aca="1" ref="J29" ca="1">IF( OutlineLevel&lt;VALUE(RIGHT(J$8,1)), "",  IF( ISNUMBER(OFFSET(J29,-1,0)), OFFSET(J29,-1,0)+IF(OutlineLevel=VALUE(RIGHT(J$8,1)),1,0),1) )</f>
        <v>6</v>
      </c>
      <c r="K29" s="3" t="str" cm="1">
        <f t="array" aca="1" ref="K29" ca="1">IF( OutlineLevel&lt;VALUE(RIGHT(K$8,1)), "",  IF( ISNUMBER(OFFSET(K29,-1,0)), OFFSET(K29,-1,0)+IF(OutlineLevel=VALUE(RIGHT(K$8,1)),1,0),1) )</f>
        <v/>
      </c>
      <c r="L29" s="3" t="str" cm="1">
        <f t="array" aca="1" ref="L29" ca="1">IF( OutlineLevel&lt;VALUE(RIGHT(L$8,1)), "",  IF( ISNUMBER(OFFSET(L29,-1,0)), OFFSET(L29,-1,0)+IF(OutlineLevel=VALUE(RIGHT(L$8,1)),1,0),1) )</f>
        <v/>
      </c>
      <c r="M29" s="3" t="str" cm="1">
        <f t="array" aca="1" ref="M29" ca="1">IF( OutlineLevel&lt;VALUE(RIGHT(M$8,1)), "",  IF( ISNUMBER(OFFSET(M29,-1,0)), OFFSET(M29,-1,0)+IF(OutlineLevel=VALUE(RIGHT(M$8,1)),1,0),1) )</f>
        <v/>
      </c>
      <c r="N29" s="3" t="str" cm="1">
        <f t="array" aca="1" ref="N29" ca="1">IF( OutlineLevel&lt;VALUE(RIGHT(N$8,1)), "",  IF( ISNUMBER(OFFSET(N29,-1,0)), OFFSET(N29,-1,0)+IF(OutlineLevel=VALUE(RIGHT(N$8,1)),1,0),1) )</f>
        <v/>
      </c>
      <c r="O29" s="3" t="str" cm="1">
        <f t="array" aca="1" ref="O29" ca="1">IF( OutlineLevel&lt;VALUE(RIGHT(O$8,1)), "",  IF( ISNUMBER(OFFSET(O29,-1,0)), OFFSET(O29,-1,0)+IF(OutlineLevel=VALUE(RIGHT(O$8,1)),1,0),1) )</f>
        <v/>
      </c>
      <c r="P29" s="3" t="b">
        <f ca="1">Table14[[#This Row],[Level]]&lt;OFFSET(P29,1,1)</f>
        <v>1</v>
      </c>
      <c r="Q29" s="3" cm="1">
        <f t="array" ref="Q29">OutlineLevel</f>
        <v>1</v>
      </c>
    </row>
    <row r="30" spans="1:17" ht="45" outlineLevel="1" x14ac:dyDescent="0.25">
      <c r="A30"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v>
      </c>
      <c r="B30" s="3" t="s">
        <v>24</v>
      </c>
      <c r="C30" s="4" t="s">
        <v>100</v>
      </c>
      <c r="D30" s="4"/>
      <c r="E30" s="7"/>
      <c r="F30" s="7"/>
      <c r="G30" s="4" t="s">
        <v>99</v>
      </c>
      <c r="H30" s="4"/>
      <c r="I30" s="4"/>
      <c r="J30" s="3" cm="1">
        <f t="array" aca="1" ref="J30" ca="1">IF( OutlineLevel&lt;VALUE(RIGHT(J$8,1)), "",  IF( ISNUMBER(OFFSET(J30,-1,0)), OFFSET(J30,-1,0)+IF(OutlineLevel=VALUE(RIGHT(J$8,1)),1,0),1) )</f>
        <v>6</v>
      </c>
      <c r="K30" s="3" cm="1">
        <f t="array" aca="1" ref="K30" ca="1">IF( OutlineLevel&lt;VALUE(RIGHT(K$8,1)), "",  IF( ISNUMBER(OFFSET(K30,-1,0)), OFFSET(K30,-1,0)+IF(OutlineLevel=VALUE(RIGHT(K$8,1)),1,0),1) )</f>
        <v>1</v>
      </c>
      <c r="L30" s="3" t="str" cm="1">
        <f t="array" aca="1" ref="L30" ca="1">IF( OutlineLevel&lt;VALUE(RIGHT(L$8,1)), "",  IF( ISNUMBER(OFFSET(L30,-1,0)), OFFSET(L30,-1,0)+IF(OutlineLevel=VALUE(RIGHT(L$8,1)),1,0),1) )</f>
        <v/>
      </c>
      <c r="M30" s="3" t="str" cm="1">
        <f t="array" aca="1" ref="M30" ca="1">IF( OutlineLevel&lt;VALUE(RIGHT(M$8,1)), "",  IF( ISNUMBER(OFFSET(M30,-1,0)), OFFSET(M30,-1,0)+IF(OutlineLevel=VALUE(RIGHT(M$8,1)),1,0),1) )</f>
        <v/>
      </c>
      <c r="N30" s="3" t="str" cm="1">
        <f t="array" aca="1" ref="N30" ca="1">IF( OutlineLevel&lt;VALUE(RIGHT(N$8,1)), "",  IF( ISNUMBER(OFFSET(N30,-1,0)), OFFSET(N30,-1,0)+IF(OutlineLevel=VALUE(RIGHT(N$8,1)),1,0),1) )</f>
        <v/>
      </c>
      <c r="O30" s="3" t="str" cm="1">
        <f t="array" aca="1" ref="O30" ca="1">IF( OutlineLevel&lt;VALUE(RIGHT(O$8,1)), "",  IF( ISNUMBER(OFFSET(O30,-1,0)), OFFSET(O30,-1,0)+IF(OutlineLevel=VALUE(RIGHT(O$8,1)),1,0),1) )</f>
        <v/>
      </c>
      <c r="P30" s="3" t="b">
        <f ca="1">Table14[[#This Row],[Level]]&lt;OFFSET(P30,1,1)</f>
        <v>1</v>
      </c>
      <c r="Q30" s="3" cm="1">
        <f t="array" ref="Q30">OutlineLevel</f>
        <v>2</v>
      </c>
    </row>
    <row r="31" spans="1:17" outlineLevel="2" x14ac:dyDescent="0.25">
      <c r="A31"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ECM:6.1.1</v>
      </c>
      <c r="B31" s="3" t="s">
        <v>35</v>
      </c>
      <c r="C31" s="4" t="s">
        <v>84</v>
      </c>
      <c r="D31" s="4"/>
      <c r="E31" s="7"/>
      <c r="F31" s="7"/>
      <c r="G31" s="4"/>
      <c r="H31" s="4"/>
      <c r="I31" s="4"/>
      <c r="J31" s="3" cm="1">
        <f t="array" aca="1" ref="J31" ca="1">IF( OutlineLevel&lt;VALUE(RIGHT(J$8,1)), "",  IF( ISNUMBER(OFFSET(J31,-1,0)), OFFSET(J31,-1,0)+IF(OutlineLevel=VALUE(RIGHT(J$8,1)),1,0),1) )</f>
        <v>6</v>
      </c>
      <c r="K31" s="3" cm="1">
        <f t="array" aca="1" ref="K31" ca="1">IF( OutlineLevel&lt;VALUE(RIGHT(K$8,1)), "",  IF( ISNUMBER(OFFSET(K31,-1,0)), OFFSET(K31,-1,0)+IF(OutlineLevel=VALUE(RIGHT(K$8,1)),1,0),1) )</f>
        <v>1</v>
      </c>
      <c r="L31" s="3" cm="1">
        <f t="array" aca="1" ref="L31" ca="1">IF( OutlineLevel&lt;VALUE(RIGHT(L$8,1)), "",  IF( ISNUMBER(OFFSET(L31,-1,0)), OFFSET(L31,-1,0)+IF(OutlineLevel=VALUE(RIGHT(L$8,1)),1,0),1) )</f>
        <v>1</v>
      </c>
      <c r="M31" s="3" t="str" cm="1">
        <f t="array" aca="1" ref="M31" ca="1">IF( OutlineLevel&lt;VALUE(RIGHT(M$8,1)), "",  IF( ISNUMBER(OFFSET(M31,-1,0)), OFFSET(M31,-1,0)+IF(OutlineLevel=VALUE(RIGHT(M$8,1)),1,0),1) )</f>
        <v/>
      </c>
      <c r="N31" s="3" t="str" cm="1">
        <f t="array" aca="1" ref="N31" ca="1">IF( OutlineLevel&lt;VALUE(RIGHT(N$8,1)), "",  IF( ISNUMBER(OFFSET(N31,-1,0)), OFFSET(N31,-1,0)+IF(OutlineLevel=VALUE(RIGHT(N$8,1)),1,0),1) )</f>
        <v/>
      </c>
      <c r="O31" s="3" t="str" cm="1">
        <f t="array" aca="1" ref="O31" ca="1">IF( OutlineLevel&lt;VALUE(RIGHT(O$8,1)), "",  IF( ISNUMBER(OFFSET(O31,-1,0)), OFFSET(O31,-1,0)+IF(OutlineLevel=VALUE(RIGHT(O$8,1)),1,0),1) )</f>
        <v/>
      </c>
      <c r="P31" s="3" t="b">
        <f ca="1">Table14[[#This Row],[Level]]&lt;OFFSET(P31,1,1)</f>
        <v>1</v>
      </c>
      <c r="Q31" s="3" cm="1">
        <f t="array" ref="Q31">OutlineLevel</f>
        <v>3</v>
      </c>
    </row>
    <row r="32" spans="1:17" outlineLevel="3" x14ac:dyDescent="0.25">
      <c r="A32"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ECM:6.1.1.1</v>
      </c>
      <c r="B32" s="3" t="s">
        <v>35</v>
      </c>
      <c r="C32" s="4" t="s">
        <v>102</v>
      </c>
      <c r="D32" s="4"/>
      <c r="E32" s="7"/>
      <c r="F32" s="7"/>
      <c r="G32" s="4"/>
      <c r="H32" s="4"/>
      <c r="I32" s="4"/>
      <c r="J32" s="3" cm="1">
        <f t="array" aca="1" ref="J32" ca="1">IF( OutlineLevel&lt;VALUE(RIGHT(J$8,1)), "",  IF( ISNUMBER(OFFSET(J32,-1,0)), OFFSET(J32,-1,0)+IF(OutlineLevel=VALUE(RIGHT(J$8,1)),1,0),1) )</f>
        <v>6</v>
      </c>
      <c r="K32" s="3" cm="1">
        <f t="array" aca="1" ref="K32" ca="1">IF( OutlineLevel&lt;VALUE(RIGHT(K$8,1)), "",  IF( ISNUMBER(OFFSET(K32,-1,0)), OFFSET(K32,-1,0)+IF(OutlineLevel=VALUE(RIGHT(K$8,1)),1,0),1) )</f>
        <v>1</v>
      </c>
      <c r="L32" s="3" cm="1">
        <f t="array" aca="1" ref="L32" ca="1">IF( OutlineLevel&lt;VALUE(RIGHT(L$8,1)), "",  IF( ISNUMBER(OFFSET(L32,-1,0)), OFFSET(L32,-1,0)+IF(OutlineLevel=VALUE(RIGHT(L$8,1)),1,0),1) )</f>
        <v>1</v>
      </c>
      <c r="M32" s="3" cm="1">
        <f t="array" aca="1" ref="M32" ca="1">IF( OutlineLevel&lt;VALUE(RIGHT(M$8,1)), "",  IF( ISNUMBER(OFFSET(M32,-1,0)), OFFSET(M32,-1,0)+IF(OutlineLevel=VALUE(RIGHT(M$8,1)),1,0),1) )</f>
        <v>1</v>
      </c>
      <c r="N32" s="3" t="str" cm="1">
        <f t="array" aca="1" ref="N32" ca="1">IF( OutlineLevel&lt;VALUE(RIGHT(N$8,1)), "",  IF( ISNUMBER(OFFSET(N32,-1,0)), OFFSET(N32,-1,0)+IF(OutlineLevel=VALUE(RIGHT(N$8,1)),1,0),1) )</f>
        <v/>
      </c>
      <c r="O32" s="3" t="str" cm="1">
        <f t="array" aca="1" ref="O32" ca="1">IF( OutlineLevel&lt;VALUE(RIGHT(O$8,1)), "",  IF( ISNUMBER(OFFSET(O32,-1,0)), OFFSET(O32,-1,0)+IF(OutlineLevel=VALUE(RIGHT(O$8,1)),1,0),1) )</f>
        <v/>
      </c>
      <c r="P32" s="3" t="b">
        <f ca="1">Table14[[#This Row],[Level]]&lt;OFFSET(P32,1,1)</f>
        <v>1</v>
      </c>
      <c r="Q32" s="3" cm="1">
        <f t="array" ref="Q32">OutlineLevel</f>
        <v>4</v>
      </c>
    </row>
    <row r="33" spans="1:17" outlineLevel="4" x14ac:dyDescent="0.25">
      <c r="A33"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ECM:6.1.1.1.1</v>
      </c>
      <c r="B33" s="3" t="s">
        <v>35</v>
      </c>
      <c r="C33" s="4" t="s">
        <v>95</v>
      </c>
      <c r="D33" s="4"/>
      <c r="E33" s="7"/>
      <c r="F33" s="7"/>
      <c r="G33" s="4"/>
      <c r="H33" s="4"/>
      <c r="I33" s="4"/>
      <c r="J33" s="3" cm="1">
        <f t="array" aca="1" ref="J33" ca="1">IF( OutlineLevel&lt;VALUE(RIGHT(J$8,1)), "",  IF( ISNUMBER(OFFSET(J33,-1,0)), OFFSET(J33,-1,0)+IF(OutlineLevel=VALUE(RIGHT(J$8,1)),1,0),1) )</f>
        <v>6</v>
      </c>
      <c r="K33" s="3" cm="1">
        <f t="array" aca="1" ref="K33" ca="1">IF( OutlineLevel&lt;VALUE(RIGHT(K$8,1)), "",  IF( ISNUMBER(OFFSET(K33,-1,0)), OFFSET(K33,-1,0)+IF(OutlineLevel=VALUE(RIGHT(K$8,1)),1,0),1) )</f>
        <v>1</v>
      </c>
      <c r="L33" s="3" cm="1">
        <f t="array" aca="1" ref="L33" ca="1">IF( OutlineLevel&lt;VALUE(RIGHT(L$8,1)), "",  IF( ISNUMBER(OFFSET(L33,-1,0)), OFFSET(L33,-1,0)+IF(OutlineLevel=VALUE(RIGHT(L$8,1)),1,0),1) )</f>
        <v>1</v>
      </c>
      <c r="M33" s="3" cm="1">
        <f t="array" aca="1" ref="M33" ca="1">IF( OutlineLevel&lt;VALUE(RIGHT(M$8,1)), "",  IF( ISNUMBER(OFFSET(M33,-1,0)), OFFSET(M33,-1,0)+IF(OutlineLevel=VALUE(RIGHT(M$8,1)),1,0),1) )</f>
        <v>1</v>
      </c>
      <c r="N33" s="3" cm="1">
        <f t="array" aca="1" ref="N33" ca="1">IF( OutlineLevel&lt;VALUE(RIGHT(N$8,1)), "",  IF( ISNUMBER(OFFSET(N33,-1,0)), OFFSET(N33,-1,0)+IF(OutlineLevel=VALUE(RIGHT(N$8,1)),1,0),1) )</f>
        <v>1</v>
      </c>
      <c r="O33" s="3" t="str" cm="1">
        <f t="array" aca="1" ref="O33" ca="1">IF( OutlineLevel&lt;VALUE(RIGHT(O$8,1)), "",  IF( ISNUMBER(OFFSET(O33,-1,0)), OFFSET(O33,-1,0)+IF(OutlineLevel=VALUE(RIGHT(O$8,1)),1,0),1) )</f>
        <v/>
      </c>
      <c r="P33" s="3" t="b">
        <f ca="1">Table14[[#This Row],[Level]]&lt;OFFSET(P33,1,1)</f>
        <v>0</v>
      </c>
      <c r="Q33" s="3" cm="1">
        <f t="array" ref="Q33">OutlineLevel</f>
        <v>5</v>
      </c>
    </row>
    <row r="34" spans="1:17" outlineLevel="4" x14ac:dyDescent="0.25">
      <c r="A34"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ECM:6.1.1.1.2</v>
      </c>
      <c r="B34" s="3" t="s">
        <v>35</v>
      </c>
      <c r="C34" s="4" t="s">
        <v>96</v>
      </c>
      <c r="D34" s="4"/>
      <c r="E34" s="7"/>
      <c r="F34" s="7"/>
      <c r="G34" s="4"/>
      <c r="H34" s="4"/>
      <c r="I34" s="4"/>
      <c r="J34" s="3" cm="1">
        <f t="array" aca="1" ref="J34" ca="1">IF( OutlineLevel&lt;VALUE(RIGHT(J$8,1)), "",  IF( ISNUMBER(OFFSET(J34,-1,0)), OFFSET(J34,-1,0)+IF(OutlineLevel=VALUE(RIGHT(J$8,1)),1,0),1) )</f>
        <v>6</v>
      </c>
      <c r="K34" s="3" cm="1">
        <f t="array" aca="1" ref="K34" ca="1">IF( OutlineLevel&lt;VALUE(RIGHT(K$8,1)), "",  IF( ISNUMBER(OFFSET(K34,-1,0)), OFFSET(K34,-1,0)+IF(OutlineLevel=VALUE(RIGHT(K$8,1)),1,0),1) )</f>
        <v>1</v>
      </c>
      <c r="L34" s="3" cm="1">
        <f t="array" aca="1" ref="L34" ca="1">IF( OutlineLevel&lt;VALUE(RIGHT(L$8,1)), "",  IF( ISNUMBER(OFFSET(L34,-1,0)), OFFSET(L34,-1,0)+IF(OutlineLevel=VALUE(RIGHT(L$8,1)),1,0),1) )</f>
        <v>1</v>
      </c>
      <c r="M34" s="3" cm="1">
        <f t="array" aca="1" ref="M34" ca="1">IF( OutlineLevel&lt;VALUE(RIGHT(M$8,1)), "",  IF( ISNUMBER(OFFSET(M34,-1,0)), OFFSET(M34,-1,0)+IF(OutlineLevel=VALUE(RIGHT(M$8,1)),1,0),1) )</f>
        <v>1</v>
      </c>
      <c r="N34" s="3" cm="1">
        <f t="array" aca="1" ref="N34" ca="1">IF( OutlineLevel&lt;VALUE(RIGHT(N$8,1)), "",  IF( ISNUMBER(OFFSET(N34,-1,0)), OFFSET(N34,-1,0)+IF(OutlineLevel=VALUE(RIGHT(N$8,1)),1,0),1) )</f>
        <v>2</v>
      </c>
      <c r="O34" s="3" t="str" cm="1">
        <f t="array" aca="1" ref="O34" ca="1">IF( OutlineLevel&lt;VALUE(RIGHT(O$8,1)), "",  IF( ISNUMBER(OFFSET(O34,-1,0)), OFFSET(O34,-1,0)+IF(OutlineLevel=VALUE(RIGHT(O$8,1)),1,0),1) )</f>
        <v/>
      </c>
      <c r="P34" s="3" t="b">
        <f ca="1">Table14[[#This Row],[Level]]&lt;OFFSET(P34,1,1)</f>
        <v>0</v>
      </c>
      <c r="Q34" s="3" cm="1">
        <f t="array" ref="Q34">OutlineLevel</f>
        <v>5</v>
      </c>
    </row>
    <row r="35" spans="1:17" outlineLevel="4" x14ac:dyDescent="0.25">
      <c r="A35"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ECM:6.1.1.1.3</v>
      </c>
      <c r="B35" s="3" t="s">
        <v>35</v>
      </c>
      <c r="C35" s="4" t="s">
        <v>105</v>
      </c>
      <c r="D35" s="4"/>
      <c r="E35" s="7"/>
      <c r="F35" s="7"/>
      <c r="G35" s="4" t="s">
        <v>106</v>
      </c>
      <c r="H35" s="4"/>
      <c r="I35" s="4"/>
      <c r="J35" s="3" cm="1">
        <f t="array" aca="1" ref="J35" ca="1">IF( OutlineLevel&lt;VALUE(RIGHT(J$8,1)), "",  IF( ISNUMBER(OFFSET(J35,-1,0)), OFFSET(J35,-1,0)+IF(OutlineLevel=VALUE(RIGHT(J$8,1)),1,0),1) )</f>
        <v>6</v>
      </c>
      <c r="K35" s="3" cm="1">
        <f t="array" aca="1" ref="K35" ca="1">IF( OutlineLevel&lt;VALUE(RIGHT(K$8,1)), "",  IF( ISNUMBER(OFFSET(K35,-1,0)), OFFSET(K35,-1,0)+IF(OutlineLevel=VALUE(RIGHT(K$8,1)),1,0),1) )</f>
        <v>1</v>
      </c>
      <c r="L35" s="3" cm="1">
        <f t="array" aca="1" ref="L35" ca="1">IF( OutlineLevel&lt;VALUE(RIGHT(L$8,1)), "",  IF( ISNUMBER(OFFSET(L35,-1,0)), OFFSET(L35,-1,0)+IF(OutlineLevel=VALUE(RIGHT(L$8,1)),1,0),1) )</f>
        <v>1</v>
      </c>
      <c r="M35" s="3" cm="1">
        <f t="array" aca="1" ref="M35" ca="1">IF( OutlineLevel&lt;VALUE(RIGHT(M$8,1)), "",  IF( ISNUMBER(OFFSET(M35,-1,0)), OFFSET(M35,-1,0)+IF(OutlineLevel=VALUE(RIGHT(M$8,1)),1,0),1) )</f>
        <v>1</v>
      </c>
      <c r="N35" s="3" cm="1">
        <f t="array" aca="1" ref="N35" ca="1">IF( OutlineLevel&lt;VALUE(RIGHT(N$8,1)), "",  IF( ISNUMBER(OFFSET(N35,-1,0)), OFFSET(N35,-1,0)+IF(OutlineLevel=VALUE(RIGHT(N$8,1)),1,0),1) )</f>
        <v>3</v>
      </c>
      <c r="O35" s="3" t="str" cm="1">
        <f t="array" aca="1" ref="O35" ca="1">IF( OutlineLevel&lt;VALUE(RIGHT(O$8,1)), "",  IF( ISNUMBER(OFFSET(O35,-1,0)), OFFSET(O35,-1,0)+IF(OutlineLevel=VALUE(RIGHT(O$8,1)),1,0),1) )</f>
        <v/>
      </c>
      <c r="P35" s="3" t="b">
        <f ca="1">Table14[[#This Row],[Level]]&lt;OFFSET(P35,1,1)</f>
        <v>0</v>
      </c>
      <c r="Q35" s="3" cm="1">
        <f t="array" ref="Q35">OutlineLevel</f>
        <v>5</v>
      </c>
    </row>
    <row r="36" spans="1:17" outlineLevel="3" x14ac:dyDescent="0.25">
      <c r="A36"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ECM:6.1.1.2</v>
      </c>
      <c r="B36" s="3" t="s">
        <v>35</v>
      </c>
      <c r="C36" s="4" t="s">
        <v>103</v>
      </c>
      <c r="D36" s="4"/>
      <c r="E36" s="7"/>
      <c r="F36" s="7"/>
      <c r="G36" s="4"/>
      <c r="H36" s="4"/>
      <c r="I36" s="4"/>
      <c r="J36" s="3" cm="1">
        <f t="array" aca="1" ref="J36" ca="1">IF( OutlineLevel&lt;VALUE(RIGHT(J$8,1)), "",  IF( ISNUMBER(OFFSET(J36,-1,0)), OFFSET(J36,-1,0)+IF(OutlineLevel=VALUE(RIGHT(J$8,1)),1,0),1) )</f>
        <v>6</v>
      </c>
      <c r="K36" s="3" cm="1">
        <f t="array" aca="1" ref="K36" ca="1">IF( OutlineLevel&lt;VALUE(RIGHT(K$8,1)), "",  IF( ISNUMBER(OFFSET(K36,-1,0)), OFFSET(K36,-1,0)+IF(OutlineLevel=VALUE(RIGHT(K$8,1)),1,0),1) )</f>
        <v>1</v>
      </c>
      <c r="L36" s="3" cm="1">
        <f t="array" aca="1" ref="L36" ca="1">IF( OutlineLevel&lt;VALUE(RIGHT(L$8,1)), "",  IF( ISNUMBER(OFFSET(L36,-1,0)), OFFSET(L36,-1,0)+IF(OutlineLevel=VALUE(RIGHT(L$8,1)),1,0),1) )</f>
        <v>1</v>
      </c>
      <c r="M36" s="3" cm="1">
        <f t="array" aca="1" ref="M36" ca="1">IF( OutlineLevel&lt;VALUE(RIGHT(M$8,1)), "",  IF( ISNUMBER(OFFSET(M36,-1,0)), OFFSET(M36,-1,0)+IF(OutlineLevel=VALUE(RIGHT(M$8,1)),1,0),1) )</f>
        <v>2</v>
      </c>
      <c r="N36" s="3" t="str" cm="1">
        <f t="array" aca="1" ref="N36" ca="1">IF( OutlineLevel&lt;VALUE(RIGHT(N$8,1)), "",  IF( ISNUMBER(OFFSET(N36,-1,0)), OFFSET(N36,-1,0)+IF(OutlineLevel=VALUE(RIGHT(N$8,1)),1,0),1) )</f>
        <v/>
      </c>
      <c r="O36" s="3" t="str" cm="1">
        <f t="array" aca="1" ref="O36" ca="1">IF( OutlineLevel&lt;VALUE(RIGHT(O$8,1)), "",  IF( ISNUMBER(OFFSET(O36,-1,0)), OFFSET(O36,-1,0)+IF(OutlineLevel=VALUE(RIGHT(O$8,1)),1,0),1) )</f>
        <v/>
      </c>
      <c r="P36" s="3" t="b">
        <f ca="1">Table14[[#This Row],[Level]]&lt;OFFSET(P36,1,1)</f>
        <v>1</v>
      </c>
      <c r="Q36" s="3" cm="1">
        <f t="array" ref="Q36">OutlineLevel</f>
        <v>4</v>
      </c>
    </row>
    <row r="37" spans="1:17" outlineLevel="4" x14ac:dyDescent="0.25">
      <c r="A37"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ECM:6.1.1.2.1</v>
      </c>
      <c r="B37" s="3" t="s">
        <v>35</v>
      </c>
      <c r="C37" s="4" t="s">
        <v>104</v>
      </c>
      <c r="D37" s="4"/>
      <c r="E37" s="7"/>
      <c r="F37" s="7"/>
      <c r="G37" s="4"/>
      <c r="H37" s="4"/>
      <c r="I37" s="4"/>
      <c r="J37" s="3" cm="1">
        <f t="array" aca="1" ref="J37" ca="1">IF( OutlineLevel&lt;VALUE(RIGHT(J$8,1)), "",  IF( ISNUMBER(OFFSET(J37,-1,0)), OFFSET(J37,-1,0)+IF(OutlineLevel=VALUE(RIGHT(J$8,1)),1,0),1) )</f>
        <v>6</v>
      </c>
      <c r="K37" s="3" cm="1">
        <f t="array" aca="1" ref="K37" ca="1">IF( OutlineLevel&lt;VALUE(RIGHT(K$8,1)), "",  IF( ISNUMBER(OFFSET(K37,-1,0)), OFFSET(K37,-1,0)+IF(OutlineLevel=VALUE(RIGHT(K$8,1)),1,0),1) )</f>
        <v>1</v>
      </c>
      <c r="L37" s="3" cm="1">
        <f t="array" aca="1" ref="L37" ca="1">IF( OutlineLevel&lt;VALUE(RIGHT(L$8,1)), "",  IF( ISNUMBER(OFFSET(L37,-1,0)), OFFSET(L37,-1,0)+IF(OutlineLevel=VALUE(RIGHT(L$8,1)),1,0),1) )</f>
        <v>1</v>
      </c>
      <c r="M37" s="3" cm="1">
        <f t="array" aca="1" ref="M37" ca="1">IF( OutlineLevel&lt;VALUE(RIGHT(M$8,1)), "",  IF( ISNUMBER(OFFSET(M37,-1,0)), OFFSET(M37,-1,0)+IF(OutlineLevel=VALUE(RIGHT(M$8,1)),1,0),1) )</f>
        <v>2</v>
      </c>
      <c r="N37" s="3" cm="1">
        <f t="array" aca="1" ref="N37" ca="1">IF( OutlineLevel&lt;VALUE(RIGHT(N$8,1)), "",  IF( ISNUMBER(OFFSET(N37,-1,0)), OFFSET(N37,-1,0)+IF(OutlineLevel=VALUE(RIGHT(N$8,1)),1,0),1) )</f>
        <v>1</v>
      </c>
      <c r="O37" s="3" t="str" cm="1">
        <f t="array" aca="1" ref="O37" ca="1">IF( OutlineLevel&lt;VALUE(RIGHT(O$8,1)), "",  IF( ISNUMBER(OFFSET(O37,-1,0)), OFFSET(O37,-1,0)+IF(OutlineLevel=VALUE(RIGHT(O$8,1)),1,0),1) )</f>
        <v/>
      </c>
      <c r="P37" s="3" t="b">
        <f ca="1">Table14[[#This Row],[Level]]&lt;OFFSET(P37,1,1)</f>
        <v>0</v>
      </c>
      <c r="Q37" s="3" cm="1">
        <f t="array" ref="Q37">OutlineLevel</f>
        <v>5</v>
      </c>
    </row>
    <row r="38" spans="1:17" outlineLevel="3" x14ac:dyDescent="0.25">
      <c r="A38"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ECM:6.1.1.3</v>
      </c>
      <c r="B38" s="3" t="s">
        <v>35</v>
      </c>
      <c r="C38" s="4" t="s">
        <v>101</v>
      </c>
      <c r="D38" s="4"/>
      <c r="E38" s="7"/>
      <c r="F38" s="7"/>
      <c r="G38" s="4"/>
      <c r="H38" s="4"/>
      <c r="I38" s="4"/>
      <c r="J38" s="3" cm="1">
        <f t="array" aca="1" ref="J38" ca="1">IF( OutlineLevel&lt;VALUE(RIGHT(J$8,1)), "",  IF( ISNUMBER(OFFSET(J38,-1,0)), OFFSET(J38,-1,0)+IF(OutlineLevel=VALUE(RIGHT(J$8,1)),1,0),1) )</f>
        <v>6</v>
      </c>
      <c r="K38" s="3" cm="1">
        <f t="array" aca="1" ref="K38" ca="1">IF( OutlineLevel&lt;VALUE(RIGHT(K$8,1)), "",  IF( ISNUMBER(OFFSET(K38,-1,0)), OFFSET(K38,-1,0)+IF(OutlineLevel=VALUE(RIGHT(K$8,1)),1,0),1) )</f>
        <v>1</v>
      </c>
      <c r="L38" s="3" cm="1">
        <f t="array" aca="1" ref="L38" ca="1">IF( OutlineLevel&lt;VALUE(RIGHT(L$8,1)), "",  IF( ISNUMBER(OFFSET(L38,-1,0)), OFFSET(L38,-1,0)+IF(OutlineLevel=VALUE(RIGHT(L$8,1)),1,0),1) )</f>
        <v>1</v>
      </c>
      <c r="M38" s="3" cm="1">
        <f t="array" aca="1" ref="M38" ca="1">IF( OutlineLevel&lt;VALUE(RIGHT(M$8,1)), "",  IF( ISNUMBER(OFFSET(M38,-1,0)), OFFSET(M38,-1,0)+IF(OutlineLevel=VALUE(RIGHT(M$8,1)),1,0),1) )</f>
        <v>3</v>
      </c>
      <c r="N38" s="3" t="str" cm="1">
        <f t="array" aca="1" ref="N38" ca="1">IF( OutlineLevel&lt;VALUE(RIGHT(N$8,1)), "",  IF( ISNUMBER(OFFSET(N38,-1,0)), OFFSET(N38,-1,0)+IF(OutlineLevel=VALUE(RIGHT(N$8,1)),1,0),1) )</f>
        <v/>
      </c>
      <c r="O38" s="3" t="str" cm="1">
        <f t="array" aca="1" ref="O38" ca="1">IF( OutlineLevel&lt;VALUE(RIGHT(O$8,1)), "",  IF( ISNUMBER(OFFSET(O38,-1,0)), OFFSET(O38,-1,0)+IF(OutlineLevel=VALUE(RIGHT(O$8,1)),1,0),1) )</f>
        <v/>
      </c>
      <c r="P38" s="3" t="b">
        <f ca="1">Table14[[#This Row],[Level]]&lt;OFFSET(P38,1,1)</f>
        <v>1</v>
      </c>
      <c r="Q38" s="3" cm="1">
        <f t="array" ref="Q38">OutlineLevel</f>
        <v>4</v>
      </c>
    </row>
    <row r="39" spans="1:17" outlineLevel="4" x14ac:dyDescent="0.25">
      <c r="A39"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ECM:6.1.1.3.1</v>
      </c>
      <c r="B39" s="3" t="s">
        <v>35</v>
      </c>
      <c r="C39" s="4" t="s">
        <v>87</v>
      </c>
      <c r="D39" s="4"/>
      <c r="E39" s="7"/>
      <c r="F39" s="7"/>
      <c r="G39" s="4"/>
      <c r="H39" s="4"/>
      <c r="I39" s="4"/>
      <c r="J39" s="3" cm="1">
        <f t="array" aca="1" ref="J39" ca="1">IF( OutlineLevel&lt;VALUE(RIGHT(J$8,1)), "",  IF( ISNUMBER(OFFSET(J39,-1,0)), OFFSET(J39,-1,0)+IF(OutlineLevel=VALUE(RIGHT(J$8,1)),1,0),1) )</f>
        <v>6</v>
      </c>
      <c r="K39" s="3" cm="1">
        <f t="array" aca="1" ref="K39" ca="1">IF( OutlineLevel&lt;VALUE(RIGHT(K$8,1)), "",  IF( ISNUMBER(OFFSET(K39,-1,0)), OFFSET(K39,-1,0)+IF(OutlineLevel=VALUE(RIGHT(K$8,1)),1,0),1) )</f>
        <v>1</v>
      </c>
      <c r="L39" s="3" cm="1">
        <f t="array" aca="1" ref="L39" ca="1">IF( OutlineLevel&lt;VALUE(RIGHT(L$8,1)), "",  IF( ISNUMBER(OFFSET(L39,-1,0)), OFFSET(L39,-1,0)+IF(OutlineLevel=VALUE(RIGHT(L$8,1)),1,0),1) )</f>
        <v>1</v>
      </c>
      <c r="M39" s="3" cm="1">
        <f t="array" aca="1" ref="M39" ca="1">IF( OutlineLevel&lt;VALUE(RIGHT(M$8,1)), "",  IF( ISNUMBER(OFFSET(M39,-1,0)), OFFSET(M39,-1,0)+IF(OutlineLevel=VALUE(RIGHT(M$8,1)),1,0),1) )</f>
        <v>3</v>
      </c>
      <c r="N39" s="3" cm="1">
        <f t="array" aca="1" ref="N39" ca="1">IF( OutlineLevel&lt;VALUE(RIGHT(N$8,1)), "",  IF( ISNUMBER(OFFSET(N39,-1,0)), OFFSET(N39,-1,0)+IF(OutlineLevel=VALUE(RIGHT(N$8,1)),1,0),1) )</f>
        <v>1</v>
      </c>
      <c r="O39" s="3" t="str" cm="1">
        <f t="array" aca="1" ref="O39" ca="1">IF( OutlineLevel&lt;VALUE(RIGHT(O$8,1)), "",  IF( ISNUMBER(OFFSET(O39,-1,0)), OFFSET(O39,-1,0)+IF(OutlineLevel=VALUE(RIGHT(O$8,1)),1,0),1) )</f>
        <v/>
      </c>
      <c r="P39" s="3" t="b">
        <f ca="1">Table14[[#This Row],[Level]]&lt;OFFSET(P39,1,1)</f>
        <v>0</v>
      </c>
      <c r="Q39" s="3" cm="1">
        <f t="array" ref="Q39">OutlineLevel</f>
        <v>5</v>
      </c>
    </row>
    <row r="40" spans="1:17" outlineLevel="4" x14ac:dyDescent="0.25">
      <c r="A40"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ECM:6.1.1.3.2</v>
      </c>
      <c r="B40" s="3" t="s">
        <v>35</v>
      </c>
      <c r="C40" s="4" t="s">
        <v>88</v>
      </c>
      <c r="D40" s="4"/>
      <c r="E40" s="7"/>
      <c r="F40" s="7"/>
      <c r="G40" s="4"/>
      <c r="H40" s="4"/>
      <c r="I40" s="4"/>
      <c r="J40" s="3" cm="1">
        <f t="array" aca="1" ref="J40" ca="1">IF( OutlineLevel&lt;VALUE(RIGHT(J$8,1)), "",  IF( ISNUMBER(OFFSET(J40,-1,0)), OFFSET(J40,-1,0)+IF(OutlineLevel=VALUE(RIGHT(J$8,1)),1,0),1) )</f>
        <v>6</v>
      </c>
      <c r="K40" s="3" cm="1">
        <f t="array" aca="1" ref="K40" ca="1">IF( OutlineLevel&lt;VALUE(RIGHT(K$8,1)), "",  IF( ISNUMBER(OFFSET(K40,-1,0)), OFFSET(K40,-1,0)+IF(OutlineLevel=VALUE(RIGHT(K$8,1)),1,0),1) )</f>
        <v>1</v>
      </c>
      <c r="L40" s="3" cm="1">
        <f t="array" aca="1" ref="L40" ca="1">IF( OutlineLevel&lt;VALUE(RIGHT(L$8,1)), "",  IF( ISNUMBER(OFFSET(L40,-1,0)), OFFSET(L40,-1,0)+IF(OutlineLevel=VALUE(RIGHT(L$8,1)),1,0),1) )</f>
        <v>1</v>
      </c>
      <c r="M40" s="3" cm="1">
        <f t="array" aca="1" ref="M40" ca="1">IF( OutlineLevel&lt;VALUE(RIGHT(M$8,1)), "",  IF( ISNUMBER(OFFSET(M40,-1,0)), OFFSET(M40,-1,0)+IF(OutlineLevel=VALUE(RIGHT(M$8,1)),1,0),1) )</f>
        <v>3</v>
      </c>
      <c r="N40" s="3" cm="1">
        <f t="array" aca="1" ref="N40" ca="1">IF( OutlineLevel&lt;VALUE(RIGHT(N$8,1)), "",  IF( ISNUMBER(OFFSET(N40,-1,0)), OFFSET(N40,-1,0)+IF(OutlineLevel=VALUE(RIGHT(N$8,1)),1,0),1) )</f>
        <v>2</v>
      </c>
      <c r="O40" s="3" t="str" cm="1">
        <f t="array" aca="1" ref="O40" ca="1">IF( OutlineLevel&lt;VALUE(RIGHT(O$8,1)), "",  IF( ISNUMBER(OFFSET(O40,-1,0)), OFFSET(O40,-1,0)+IF(OutlineLevel=VALUE(RIGHT(O$8,1)),1,0),1) )</f>
        <v/>
      </c>
      <c r="P40" s="3" t="b">
        <f ca="1">Table14[[#This Row],[Level]]&lt;OFFSET(P40,1,1)</f>
        <v>0</v>
      </c>
      <c r="Q40" s="3" cm="1">
        <f t="array" ref="Q40">OutlineLevel</f>
        <v>5</v>
      </c>
    </row>
    <row r="41" spans="1:17" outlineLevel="2" x14ac:dyDescent="0.25">
      <c r="A41"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v>
      </c>
      <c r="B41" s="3" t="s">
        <v>35</v>
      </c>
      <c r="C41" s="4" t="s">
        <v>98</v>
      </c>
      <c r="D41" s="4"/>
      <c r="E41" s="7"/>
      <c r="F41" s="7"/>
      <c r="G41" s="4"/>
      <c r="H41" s="4"/>
      <c r="I41" s="4"/>
      <c r="J41" s="3" cm="1">
        <f t="array" aca="1" ref="J41" ca="1">IF( OutlineLevel&lt;VALUE(RIGHT(J$8,1)), "",  IF( ISNUMBER(OFFSET(J41,-1,0)), OFFSET(J41,-1,0)+IF(OutlineLevel=VALUE(RIGHT(J$8,1)),1,0),1) )</f>
        <v>6</v>
      </c>
      <c r="K41" s="3" cm="1">
        <f t="array" aca="1" ref="K41" ca="1">IF( OutlineLevel&lt;VALUE(RIGHT(K$8,1)), "",  IF( ISNUMBER(OFFSET(K41,-1,0)), OFFSET(K41,-1,0)+IF(OutlineLevel=VALUE(RIGHT(K$8,1)),1,0),1) )</f>
        <v>1</v>
      </c>
      <c r="L41" s="3" cm="1">
        <f t="array" aca="1" ref="L41" ca="1">IF( OutlineLevel&lt;VALUE(RIGHT(L$8,1)), "",  IF( ISNUMBER(OFFSET(L41,-1,0)), OFFSET(L41,-1,0)+IF(OutlineLevel=VALUE(RIGHT(L$8,1)),1,0),1) )</f>
        <v>2</v>
      </c>
      <c r="M41" s="3" t="str" cm="1">
        <f t="array" aca="1" ref="M41" ca="1">IF( OutlineLevel&lt;VALUE(RIGHT(M$8,1)), "",  IF( ISNUMBER(OFFSET(M41,-1,0)), OFFSET(M41,-1,0)+IF(OutlineLevel=VALUE(RIGHT(M$8,1)),1,0),1) )</f>
        <v/>
      </c>
      <c r="N41" s="3" t="str" cm="1">
        <f t="array" aca="1" ref="N41" ca="1">IF( OutlineLevel&lt;VALUE(RIGHT(N$8,1)), "",  IF( ISNUMBER(OFFSET(N41,-1,0)), OFFSET(N41,-1,0)+IF(OutlineLevel=VALUE(RIGHT(N$8,1)),1,0),1) )</f>
        <v/>
      </c>
      <c r="O41" s="3" t="str" cm="1">
        <f t="array" aca="1" ref="O41" ca="1">IF( OutlineLevel&lt;VALUE(RIGHT(O$8,1)), "",  IF( ISNUMBER(OFFSET(O41,-1,0)), OFFSET(O41,-1,0)+IF(OutlineLevel=VALUE(RIGHT(O$8,1)),1,0),1) )</f>
        <v/>
      </c>
      <c r="P41" s="3" t="b">
        <f ca="1">Table14[[#This Row],[Level]]&lt;OFFSET(P41,1,1)</f>
        <v>1</v>
      </c>
      <c r="Q41" s="3" cm="1">
        <f t="array" ref="Q41">OutlineLevel</f>
        <v>3</v>
      </c>
    </row>
    <row r="42" spans="1:17" outlineLevel="3" x14ac:dyDescent="0.25">
      <c r="A42"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ECM:6.1.2.1</v>
      </c>
      <c r="B42" s="3" t="s">
        <v>35</v>
      </c>
      <c r="C42" s="4" t="s">
        <v>86</v>
      </c>
      <c r="D42" s="4"/>
      <c r="E42" s="7"/>
      <c r="F42" s="7"/>
      <c r="G42" s="4"/>
      <c r="H42" s="4"/>
      <c r="I42" s="4"/>
      <c r="J42" s="3" cm="1">
        <f t="array" aca="1" ref="J42" ca="1">IF( OutlineLevel&lt;VALUE(RIGHT(J$8,1)), "",  IF( ISNUMBER(OFFSET(J42,-1,0)), OFFSET(J42,-1,0)+IF(OutlineLevel=VALUE(RIGHT(J$8,1)),1,0),1) )</f>
        <v>6</v>
      </c>
      <c r="K42" s="3" cm="1">
        <f t="array" aca="1" ref="K42" ca="1">IF( OutlineLevel&lt;VALUE(RIGHT(K$8,1)), "",  IF( ISNUMBER(OFFSET(K42,-1,0)), OFFSET(K42,-1,0)+IF(OutlineLevel=VALUE(RIGHT(K$8,1)),1,0),1) )</f>
        <v>1</v>
      </c>
      <c r="L42" s="3" cm="1">
        <f t="array" aca="1" ref="L42" ca="1">IF( OutlineLevel&lt;VALUE(RIGHT(L$8,1)), "",  IF( ISNUMBER(OFFSET(L42,-1,0)), OFFSET(L42,-1,0)+IF(OutlineLevel=VALUE(RIGHT(L$8,1)),1,0),1) )</f>
        <v>2</v>
      </c>
      <c r="M42" s="3" cm="1">
        <f t="array" aca="1" ref="M42" ca="1">IF( OutlineLevel&lt;VALUE(RIGHT(M$8,1)), "",  IF( ISNUMBER(OFFSET(M42,-1,0)), OFFSET(M42,-1,0)+IF(OutlineLevel=VALUE(RIGHT(M$8,1)),1,0),1) )</f>
        <v>1</v>
      </c>
      <c r="N42" s="3" t="str" cm="1">
        <f t="array" aca="1" ref="N42" ca="1">IF( OutlineLevel&lt;VALUE(RIGHT(N$8,1)), "",  IF( ISNUMBER(OFFSET(N42,-1,0)), OFFSET(N42,-1,0)+IF(OutlineLevel=VALUE(RIGHT(N$8,1)),1,0),1) )</f>
        <v/>
      </c>
      <c r="O42" s="3" t="str" cm="1">
        <f t="array" aca="1" ref="O42" ca="1">IF( OutlineLevel&lt;VALUE(RIGHT(O$8,1)), "",  IF( ISNUMBER(OFFSET(O42,-1,0)), OFFSET(O42,-1,0)+IF(OutlineLevel=VALUE(RIGHT(O$8,1)),1,0),1) )</f>
        <v/>
      </c>
      <c r="P42" s="3" t="b">
        <f ca="1">Table14[[#This Row],[Level]]&lt;OFFSET(P42,1,1)</f>
        <v>0</v>
      </c>
      <c r="Q42" s="3" cm="1">
        <f t="array" ref="Q42">OutlineLevel</f>
        <v>4</v>
      </c>
    </row>
    <row r="43" spans="1:17" outlineLevel="3" x14ac:dyDescent="0.25">
      <c r="A43"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ECM:6.1.2.2</v>
      </c>
      <c r="B43" s="3" t="s">
        <v>35</v>
      </c>
      <c r="C43" s="4" t="s">
        <v>85</v>
      </c>
      <c r="D43" s="4"/>
      <c r="E43" s="7"/>
      <c r="F43" s="7"/>
      <c r="G43" s="4"/>
      <c r="H43" s="4"/>
      <c r="I43" s="4"/>
      <c r="J43" s="3" cm="1">
        <f t="array" aca="1" ref="J43" ca="1">IF( OutlineLevel&lt;VALUE(RIGHT(J$8,1)), "",  IF( ISNUMBER(OFFSET(J43,-1,0)), OFFSET(J43,-1,0)+IF(OutlineLevel=VALUE(RIGHT(J$8,1)),1,0),1) )</f>
        <v>6</v>
      </c>
      <c r="K43" s="3" cm="1">
        <f t="array" aca="1" ref="K43" ca="1">IF( OutlineLevel&lt;VALUE(RIGHT(K$8,1)), "",  IF( ISNUMBER(OFFSET(K43,-1,0)), OFFSET(K43,-1,0)+IF(OutlineLevel=VALUE(RIGHT(K$8,1)),1,0),1) )</f>
        <v>1</v>
      </c>
      <c r="L43" s="3" cm="1">
        <f t="array" aca="1" ref="L43" ca="1">IF( OutlineLevel&lt;VALUE(RIGHT(L$8,1)), "",  IF( ISNUMBER(OFFSET(L43,-1,0)), OFFSET(L43,-1,0)+IF(OutlineLevel=VALUE(RIGHT(L$8,1)),1,0),1) )</f>
        <v>2</v>
      </c>
      <c r="M43" s="3" cm="1">
        <f t="array" aca="1" ref="M43" ca="1">IF( OutlineLevel&lt;VALUE(RIGHT(M$8,1)), "",  IF( ISNUMBER(OFFSET(M43,-1,0)), OFFSET(M43,-1,0)+IF(OutlineLevel=VALUE(RIGHT(M$8,1)),1,0),1) )</f>
        <v>2</v>
      </c>
      <c r="N43" s="3" t="str" cm="1">
        <f t="array" aca="1" ref="N43" ca="1">IF( OutlineLevel&lt;VALUE(RIGHT(N$8,1)), "",  IF( ISNUMBER(OFFSET(N43,-1,0)), OFFSET(N43,-1,0)+IF(OutlineLevel=VALUE(RIGHT(N$8,1)),1,0),1) )</f>
        <v/>
      </c>
      <c r="O43" s="3" t="str" cm="1">
        <f t="array" aca="1" ref="O43" ca="1">IF( OutlineLevel&lt;VALUE(RIGHT(O$8,1)), "",  IF( ISNUMBER(OFFSET(O43,-1,0)), OFFSET(O43,-1,0)+IF(OutlineLevel=VALUE(RIGHT(O$8,1)),1,0),1) )</f>
        <v/>
      </c>
      <c r="P43" s="3" t="b">
        <f ca="1">Table14[[#This Row],[Level]]&lt;OFFSET(P43,1,1)</f>
        <v>0</v>
      </c>
      <c r="Q43" s="3" cm="1">
        <f t="array" ref="Q43">OutlineLevel</f>
        <v>4</v>
      </c>
    </row>
    <row r="44" spans="1:17" outlineLevel="3" x14ac:dyDescent="0.25">
      <c r="A44"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ECM:6.1.2.3</v>
      </c>
      <c r="B44" s="3" t="s">
        <v>35</v>
      </c>
      <c r="C44" s="4" t="s">
        <v>89</v>
      </c>
      <c r="D44" s="4"/>
      <c r="E44" s="7"/>
      <c r="F44" s="7"/>
      <c r="G44" s="4"/>
      <c r="H44" s="4"/>
      <c r="I44" s="4"/>
      <c r="J44" s="3" cm="1">
        <f t="array" aca="1" ref="J44" ca="1">IF( OutlineLevel&lt;VALUE(RIGHT(J$8,1)), "",  IF( ISNUMBER(OFFSET(J44,-1,0)), OFFSET(J44,-1,0)+IF(OutlineLevel=VALUE(RIGHT(J$8,1)),1,0),1) )</f>
        <v>6</v>
      </c>
      <c r="K44" s="3" cm="1">
        <f t="array" aca="1" ref="K44" ca="1">IF( OutlineLevel&lt;VALUE(RIGHT(K$8,1)), "",  IF( ISNUMBER(OFFSET(K44,-1,0)), OFFSET(K44,-1,0)+IF(OutlineLevel=VALUE(RIGHT(K$8,1)),1,0),1) )</f>
        <v>1</v>
      </c>
      <c r="L44" s="3" cm="1">
        <f t="array" aca="1" ref="L44" ca="1">IF( OutlineLevel&lt;VALUE(RIGHT(L$8,1)), "",  IF( ISNUMBER(OFFSET(L44,-1,0)), OFFSET(L44,-1,0)+IF(OutlineLevel=VALUE(RIGHT(L$8,1)),1,0),1) )</f>
        <v>2</v>
      </c>
      <c r="M44" s="3" cm="1">
        <f t="array" aca="1" ref="M44" ca="1">IF( OutlineLevel&lt;VALUE(RIGHT(M$8,1)), "",  IF( ISNUMBER(OFFSET(M44,-1,0)), OFFSET(M44,-1,0)+IF(OutlineLevel=VALUE(RIGHT(M$8,1)),1,0),1) )</f>
        <v>3</v>
      </c>
      <c r="N44" s="3" t="str" cm="1">
        <f t="array" aca="1" ref="N44" ca="1">IF( OutlineLevel&lt;VALUE(RIGHT(N$8,1)), "",  IF( ISNUMBER(OFFSET(N44,-1,0)), OFFSET(N44,-1,0)+IF(OutlineLevel=VALUE(RIGHT(N$8,1)),1,0),1) )</f>
        <v/>
      </c>
      <c r="O44" s="3" t="str" cm="1">
        <f t="array" aca="1" ref="O44" ca="1">IF( OutlineLevel&lt;VALUE(RIGHT(O$8,1)), "",  IF( ISNUMBER(OFFSET(O44,-1,0)), OFFSET(O44,-1,0)+IF(OutlineLevel=VALUE(RIGHT(O$8,1)),1,0),1) )</f>
        <v/>
      </c>
      <c r="P44" s="3" t="b">
        <f ca="1">Table14[[#This Row],[Level]]&lt;OFFSET(P44,1,1)</f>
        <v>1</v>
      </c>
      <c r="Q44" s="3" cm="1">
        <f t="array" ref="Q44">OutlineLevel</f>
        <v>4</v>
      </c>
    </row>
    <row r="45" spans="1:17" ht="30" outlineLevel="4" x14ac:dyDescent="0.25">
      <c r="A45"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ECM:6.1.2.3.1</v>
      </c>
      <c r="B45" s="3" t="s">
        <v>35</v>
      </c>
      <c r="C45" s="4" t="s">
        <v>90</v>
      </c>
      <c r="D45" s="4"/>
      <c r="E45" s="7"/>
      <c r="F45" s="7"/>
      <c r="G45" s="4" t="s">
        <v>94</v>
      </c>
      <c r="H45" s="4"/>
      <c r="I45" s="4"/>
      <c r="J45" s="3" cm="1">
        <f t="array" aca="1" ref="J45" ca="1">IF( OutlineLevel&lt;VALUE(RIGHT(J$8,1)), "",  IF( ISNUMBER(OFFSET(J45,-1,0)), OFFSET(J45,-1,0)+IF(OutlineLevel=VALUE(RIGHT(J$8,1)),1,0),1) )</f>
        <v>6</v>
      </c>
      <c r="K45" s="3" cm="1">
        <f t="array" aca="1" ref="K45" ca="1">IF( OutlineLevel&lt;VALUE(RIGHT(K$8,1)), "",  IF( ISNUMBER(OFFSET(K45,-1,0)), OFFSET(K45,-1,0)+IF(OutlineLevel=VALUE(RIGHT(K$8,1)),1,0),1) )</f>
        <v>1</v>
      </c>
      <c r="L45" s="3" cm="1">
        <f t="array" aca="1" ref="L45" ca="1">IF( OutlineLevel&lt;VALUE(RIGHT(L$8,1)), "",  IF( ISNUMBER(OFFSET(L45,-1,0)), OFFSET(L45,-1,0)+IF(OutlineLevel=VALUE(RIGHT(L$8,1)),1,0),1) )</f>
        <v>2</v>
      </c>
      <c r="M45" s="3" cm="1">
        <f t="array" aca="1" ref="M45" ca="1">IF( OutlineLevel&lt;VALUE(RIGHT(M$8,1)), "",  IF( ISNUMBER(OFFSET(M45,-1,0)), OFFSET(M45,-1,0)+IF(OutlineLevel=VALUE(RIGHT(M$8,1)),1,0),1) )</f>
        <v>3</v>
      </c>
      <c r="N45" s="3" cm="1">
        <f t="array" aca="1" ref="N45" ca="1">IF( OutlineLevel&lt;VALUE(RIGHT(N$8,1)), "",  IF( ISNUMBER(OFFSET(N45,-1,0)), OFFSET(N45,-1,0)+IF(OutlineLevel=VALUE(RIGHT(N$8,1)),1,0),1) )</f>
        <v>1</v>
      </c>
      <c r="O45" s="3" t="str" cm="1">
        <f t="array" aca="1" ref="O45" ca="1">IF( OutlineLevel&lt;VALUE(RIGHT(O$8,1)), "",  IF( ISNUMBER(OFFSET(O45,-1,0)), OFFSET(O45,-1,0)+IF(OutlineLevel=VALUE(RIGHT(O$8,1)),1,0),1) )</f>
        <v/>
      </c>
      <c r="P45" s="3" t="b">
        <f ca="1">Table14[[#This Row],[Level]]&lt;OFFSET(P45,1,1)</f>
        <v>1</v>
      </c>
      <c r="Q45" s="3" cm="1">
        <f t="array" ref="Q45">OutlineLevel</f>
        <v>5</v>
      </c>
    </row>
    <row r="46" spans="1:17" ht="30" outlineLevel="5" x14ac:dyDescent="0.25">
      <c r="A46"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ECM:6.1.2.3.1.1</v>
      </c>
      <c r="B46" s="3" t="s">
        <v>24</v>
      </c>
      <c r="C46" s="4" t="s">
        <v>107</v>
      </c>
      <c r="D46" s="4"/>
      <c r="E46" s="7"/>
      <c r="F46" s="7"/>
      <c r="G46" s="4"/>
      <c r="H46" s="4"/>
      <c r="I46" s="4"/>
      <c r="J46" s="3" cm="1">
        <f t="array" aca="1" ref="J46" ca="1">IF( OutlineLevel&lt;VALUE(RIGHT(J$8,1)), "",  IF( ISNUMBER(OFFSET(J46,-1,0)), OFFSET(J46,-1,0)+IF(OutlineLevel=VALUE(RIGHT(J$8,1)),1,0),1) )</f>
        <v>6</v>
      </c>
      <c r="K46" s="3" cm="1">
        <f t="array" aca="1" ref="K46" ca="1">IF( OutlineLevel&lt;VALUE(RIGHT(K$8,1)), "",  IF( ISNUMBER(OFFSET(K46,-1,0)), OFFSET(K46,-1,0)+IF(OutlineLevel=VALUE(RIGHT(K$8,1)),1,0),1) )</f>
        <v>1</v>
      </c>
      <c r="L46" s="3" cm="1">
        <f t="array" aca="1" ref="L46" ca="1">IF( OutlineLevel&lt;VALUE(RIGHT(L$8,1)), "",  IF( ISNUMBER(OFFSET(L46,-1,0)), OFFSET(L46,-1,0)+IF(OutlineLevel=VALUE(RIGHT(L$8,1)),1,0),1) )</f>
        <v>2</v>
      </c>
      <c r="M46" s="3" cm="1">
        <f t="array" aca="1" ref="M46" ca="1">IF( OutlineLevel&lt;VALUE(RIGHT(M$8,1)), "",  IF( ISNUMBER(OFFSET(M46,-1,0)), OFFSET(M46,-1,0)+IF(OutlineLevel=VALUE(RIGHT(M$8,1)),1,0),1) )</f>
        <v>3</v>
      </c>
      <c r="N46" s="3" cm="1">
        <f t="array" aca="1" ref="N46" ca="1">IF( OutlineLevel&lt;VALUE(RIGHT(N$8,1)), "",  IF( ISNUMBER(OFFSET(N46,-1,0)), OFFSET(N46,-1,0)+IF(OutlineLevel=VALUE(RIGHT(N$8,1)),1,0),1) )</f>
        <v>1</v>
      </c>
      <c r="O46" s="3" cm="1">
        <f t="array" aca="1" ref="O46" ca="1">IF( OutlineLevel&lt;VALUE(RIGHT(O$8,1)), "",  IF( ISNUMBER(OFFSET(O46,-1,0)), OFFSET(O46,-1,0)+IF(OutlineLevel=VALUE(RIGHT(O$8,1)),1,0),1) )</f>
        <v>1</v>
      </c>
      <c r="P46" s="3" t="b">
        <f ca="1">Table14[[#This Row],[Level]]&lt;OFFSET(P46,1,1)</f>
        <v>0</v>
      </c>
      <c r="Q46" s="3" cm="1">
        <f t="array" ref="Q46">OutlineLevel</f>
        <v>6</v>
      </c>
    </row>
    <row r="47" spans="1:17" ht="45" outlineLevel="5" x14ac:dyDescent="0.25">
      <c r="A47"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ECM:6.1.2.3.1.2</v>
      </c>
      <c r="B47" s="3" t="s">
        <v>24</v>
      </c>
      <c r="C47" s="4" t="s">
        <v>108</v>
      </c>
      <c r="D47" s="4"/>
      <c r="E47" s="7"/>
      <c r="F47" s="7"/>
      <c r="G47" s="4"/>
      <c r="H47" s="4"/>
      <c r="I47" s="4"/>
      <c r="J47" s="3" cm="1">
        <f t="array" aca="1" ref="J47" ca="1">IF( OutlineLevel&lt;VALUE(RIGHT(J$8,1)), "",  IF( ISNUMBER(OFFSET(J47,-1,0)), OFFSET(J47,-1,0)+IF(OutlineLevel=VALUE(RIGHT(J$8,1)),1,0),1) )</f>
        <v>6</v>
      </c>
      <c r="K47" s="3" cm="1">
        <f t="array" aca="1" ref="K47" ca="1">IF( OutlineLevel&lt;VALUE(RIGHT(K$8,1)), "",  IF( ISNUMBER(OFFSET(K47,-1,0)), OFFSET(K47,-1,0)+IF(OutlineLevel=VALUE(RIGHT(K$8,1)),1,0),1) )</f>
        <v>1</v>
      </c>
      <c r="L47" s="3" cm="1">
        <f t="array" aca="1" ref="L47" ca="1">IF( OutlineLevel&lt;VALUE(RIGHT(L$8,1)), "",  IF( ISNUMBER(OFFSET(L47,-1,0)), OFFSET(L47,-1,0)+IF(OutlineLevel=VALUE(RIGHT(L$8,1)),1,0),1) )</f>
        <v>2</v>
      </c>
      <c r="M47" s="3" cm="1">
        <f t="array" aca="1" ref="M47" ca="1">IF( OutlineLevel&lt;VALUE(RIGHT(M$8,1)), "",  IF( ISNUMBER(OFFSET(M47,-1,0)), OFFSET(M47,-1,0)+IF(OutlineLevel=VALUE(RIGHT(M$8,1)),1,0),1) )</f>
        <v>3</v>
      </c>
      <c r="N47" s="3" cm="1">
        <f t="array" aca="1" ref="N47" ca="1">IF( OutlineLevel&lt;VALUE(RIGHT(N$8,1)), "",  IF( ISNUMBER(OFFSET(N47,-1,0)), OFFSET(N47,-1,0)+IF(OutlineLevel=VALUE(RIGHT(N$8,1)),1,0),1) )</f>
        <v>1</v>
      </c>
      <c r="O47" s="3" cm="1">
        <f t="array" aca="1" ref="O47" ca="1">IF( OutlineLevel&lt;VALUE(RIGHT(O$8,1)), "",  IF( ISNUMBER(OFFSET(O47,-1,0)), OFFSET(O47,-1,0)+IF(OutlineLevel=VALUE(RIGHT(O$8,1)),1,0),1) )</f>
        <v>2</v>
      </c>
      <c r="P47" s="3" t="b">
        <f ca="1">Table14[[#This Row],[Level]]&lt;OFFSET(P47,1,1)</f>
        <v>0</v>
      </c>
      <c r="Q47" s="3" cm="1">
        <f t="array" ref="Q47">OutlineLevel</f>
        <v>6</v>
      </c>
    </row>
    <row r="48" spans="1:17" ht="30" outlineLevel="5" x14ac:dyDescent="0.25">
      <c r="A48"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ECM:6.1.2.3.1.3</v>
      </c>
      <c r="B48" s="3" t="s">
        <v>24</v>
      </c>
      <c r="C48" s="4" t="s">
        <v>113</v>
      </c>
      <c r="D48" s="4"/>
      <c r="E48" s="7"/>
      <c r="F48" s="7"/>
      <c r="G48" s="4"/>
      <c r="H48" s="4"/>
      <c r="I48" s="4"/>
      <c r="J48" s="3" cm="1">
        <f t="array" aca="1" ref="J48" ca="1">IF( OutlineLevel&lt;VALUE(RIGHT(J$8,1)), "",  IF( ISNUMBER(OFFSET(J48,-1,0)), OFFSET(J48,-1,0)+IF(OutlineLevel=VALUE(RIGHT(J$8,1)),1,0),1) )</f>
        <v>6</v>
      </c>
      <c r="K48" s="3" cm="1">
        <f t="array" aca="1" ref="K48" ca="1">IF( OutlineLevel&lt;VALUE(RIGHT(K$8,1)), "",  IF( ISNUMBER(OFFSET(K48,-1,0)), OFFSET(K48,-1,0)+IF(OutlineLevel=VALUE(RIGHT(K$8,1)),1,0),1) )</f>
        <v>1</v>
      </c>
      <c r="L48" s="3" cm="1">
        <f t="array" aca="1" ref="L48" ca="1">IF( OutlineLevel&lt;VALUE(RIGHT(L$8,1)), "",  IF( ISNUMBER(OFFSET(L48,-1,0)), OFFSET(L48,-1,0)+IF(OutlineLevel=VALUE(RIGHT(L$8,1)),1,0),1) )</f>
        <v>2</v>
      </c>
      <c r="M48" s="3" cm="1">
        <f t="array" aca="1" ref="M48" ca="1">IF( OutlineLevel&lt;VALUE(RIGHT(M$8,1)), "",  IF( ISNUMBER(OFFSET(M48,-1,0)), OFFSET(M48,-1,0)+IF(OutlineLevel=VALUE(RIGHT(M$8,1)),1,0),1) )</f>
        <v>3</v>
      </c>
      <c r="N48" s="3" cm="1">
        <f t="array" aca="1" ref="N48" ca="1">IF( OutlineLevel&lt;VALUE(RIGHT(N$8,1)), "",  IF( ISNUMBER(OFFSET(N48,-1,0)), OFFSET(N48,-1,0)+IF(OutlineLevel=VALUE(RIGHT(N$8,1)),1,0),1) )</f>
        <v>1</v>
      </c>
      <c r="O48" s="3" cm="1">
        <f t="array" aca="1" ref="O48" ca="1">IF( OutlineLevel&lt;VALUE(RIGHT(O$8,1)), "",  IF( ISNUMBER(OFFSET(O48,-1,0)), OFFSET(O48,-1,0)+IF(OutlineLevel=VALUE(RIGHT(O$8,1)),1,0),1) )</f>
        <v>3</v>
      </c>
      <c r="P48" s="3" t="b">
        <f ca="1">Table14[[#This Row],[Level]]&lt;OFFSET(P48,1,1)</f>
        <v>1</v>
      </c>
      <c r="Q48" s="3" cm="1">
        <f t="array" ref="Q48">OutlineLevel</f>
        <v>6</v>
      </c>
    </row>
    <row r="49" spans="1:17" ht="30" outlineLevel="6" x14ac:dyDescent="0.25">
      <c r="A49"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ECM:6.1.2.3.1.3</v>
      </c>
      <c r="B49" s="3" t="s">
        <v>24</v>
      </c>
      <c r="C49" s="4" t="s">
        <v>114</v>
      </c>
      <c r="D49" s="4"/>
      <c r="E49" s="7"/>
      <c r="F49" s="7"/>
      <c r="G49" s="4"/>
      <c r="H49" s="4"/>
      <c r="I49" s="4"/>
      <c r="J49" s="3" cm="1">
        <f t="array" aca="1" ref="J49" ca="1">IF( OutlineLevel&lt;VALUE(RIGHT(J$8,1)), "",  IF( ISNUMBER(OFFSET(J49,-1,0)), OFFSET(J49,-1,0)+IF(OutlineLevel=VALUE(RIGHT(J$8,1)),1,0),1) )</f>
        <v>6</v>
      </c>
      <c r="K49" s="3" cm="1">
        <f t="array" aca="1" ref="K49" ca="1">IF( OutlineLevel&lt;VALUE(RIGHT(K$8,1)), "",  IF( ISNUMBER(OFFSET(K49,-1,0)), OFFSET(K49,-1,0)+IF(OutlineLevel=VALUE(RIGHT(K$8,1)),1,0),1) )</f>
        <v>1</v>
      </c>
      <c r="L49" s="3" cm="1">
        <f t="array" aca="1" ref="L49" ca="1">IF( OutlineLevel&lt;VALUE(RIGHT(L$8,1)), "",  IF( ISNUMBER(OFFSET(L49,-1,0)), OFFSET(L49,-1,0)+IF(OutlineLevel=VALUE(RIGHT(L$8,1)),1,0),1) )</f>
        <v>2</v>
      </c>
      <c r="M49" s="3" cm="1">
        <f t="array" aca="1" ref="M49" ca="1">IF( OutlineLevel&lt;VALUE(RIGHT(M$8,1)), "",  IF( ISNUMBER(OFFSET(M49,-1,0)), OFFSET(M49,-1,0)+IF(OutlineLevel=VALUE(RIGHT(M$8,1)),1,0),1) )</f>
        <v>3</v>
      </c>
      <c r="N49" s="3" cm="1">
        <f t="array" aca="1" ref="N49" ca="1">IF( OutlineLevel&lt;VALUE(RIGHT(N$8,1)), "",  IF( ISNUMBER(OFFSET(N49,-1,0)), OFFSET(N49,-1,0)+IF(OutlineLevel=VALUE(RIGHT(N$8,1)),1,0),1) )</f>
        <v>1</v>
      </c>
      <c r="O49" s="3" cm="1">
        <f t="array" aca="1" ref="O49" ca="1">IF( OutlineLevel&lt;VALUE(RIGHT(O$8,1)), "",  IF( ISNUMBER(OFFSET(O49,-1,0)), OFFSET(O49,-1,0)+IF(OutlineLevel=VALUE(RIGHT(O$8,1)),1,0),1) )</f>
        <v>3</v>
      </c>
      <c r="P49" s="3" t="b">
        <f ca="1">Table14[[#This Row],[Level]]&lt;OFFSET(P49,1,1)</f>
        <v>0</v>
      </c>
      <c r="Q49" s="3" cm="1">
        <f t="array" ref="Q49">OutlineLevel</f>
        <v>7</v>
      </c>
    </row>
    <row r="50" spans="1:17" ht="45" outlineLevel="5" x14ac:dyDescent="0.25">
      <c r="A50"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ECM:6.1.2.3.1.4</v>
      </c>
      <c r="B50" s="3" t="s">
        <v>24</v>
      </c>
      <c r="C50" s="4" t="s">
        <v>109</v>
      </c>
      <c r="D50" s="4"/>
      <c r="E50" s="7"/>
      <c r="F50" s="7"/>
      <c r="G50" s="4"/>
      <c r="H50" s="4"/>
      <c r="I50" s="4"/>
      <c r="J50" s="3" cm="1">
        <f t="array" aca="1" ref="J50" ca="1">IF( OutlineLevel&lt;VALUE(RIGHT(J$8,1)), "",  IF( ISNUMBER(OFFSET(J50,-1,0)), OFFSET(J50,-1,0)+IF(OutlineLevel=VALUE(RIGHT(J$8,1)),1,0),1) )</f>
        <v>6</v>
      </c>
      <c r="K50" s="3" cm="1">
        <f t="array" aca="1" ref="K50" ca="1">IF( OutlineLevel&lt;VALUE(RIGHT(K$8,1)), "",  IF( ISNUMBER(OFFSET(K50,-1,0)), OFFSET(K50,-1,0)+IF(OutlineLevel=VALUE(RIGHT(K$8,1)),1,0),1) )</f>
        <v>1</v>
      </c>
      <c r="L50" s="3" cm="1">
        <f t="array" aca="1" ref="L50" ca="1">IF( OutlineLevel&lt;VALUE(RIGHT(L$8,1)), "",  IF( ISNUMBER(OFFSET(L50,-1,0)), OFFSET(L50,-1,0)+IF(OutlineLevel=VALUE(RIGHT(L$8,1)),1,0),1) )</f>
        <v>2</v>
      </c>
      <c r="M50" s="3" cm="1">
        <f t="array" aca="1" ref="M50" ca="1">IF( OutlineLevel&lt;VALUE(RIGHT(M$8,1)), "",  IF( ISNUMBER(OFFSET(M50,-1,0)), OFFSET(M50,-1,0)+IF(OutlineLevel=VALUE(RIGHT(M$8,1)),1,0),1) )</f>
        <v>3</v>
      </c>
      <c r="N50" s="3" cm="1">
        <f t="array" aca="1" ref="N50" ca="1">IF( OutlineLevel&lt;VALUE(RIGHT(N$8,1)), "",  IF( ISNUMBER(OFFSET(N50,-1,0)), OFFSET(N50,-1,0)+IF(OutlineLevel=VALUE(RIGHT(N$8,1)),1,0),1) )</f>
        <v>1</v>
      </c>
      <c r="O50" s="3" cm="1">
        <f t="array" aca="1" ref="O50" ca="1">IF( OutlineLevel&lt;VALUE(RIGHT(O$8,1)), "",  IF( ISNUMBER(OFFSET(O50,-1,0)), OFFSET(O50,-1,0)+IF(OutlineLevel=VALUE(RIGHT(O$8,1)),1,0),1) )</f>
        <v>4</v>
      </c>
      <c r="P50" s="3" t="b">
        <f ca="1">Table14[[#This Row],[Level]]&lt;OFFSET(P50,1,1)</f>
        <v>0</v>
      </c>
      <c r="Q50" s="3" cm="1">
        <f t="array" ref="Q50">OutlineLevel</f>
        <v>6</v>
      </c>
    </row>
    <row r="51" spans="1:17" ht="30" outlineLevel="5" x14ac:dyDescent="0.25">
      <c r="A51"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ECM:6.1.2.3.1.5</v>
      </c>
      <c r="B51" s="3" t="s">
        <v>24</v>
      </c>
      <c r="C51" s="4" t="s">
        <v>110</v>
      </c>
      <c r="D51" s="4"/>
      <c r="E51" s="7"/>
      <c r="F51" s="7"/>
      <c r="G51" s="4"/>
      <c r="H51" s="4"/>
      <c r="I51" s="4"/>
      <c r="J51" s="3" cm="1">
        <f t="array" aca="1" ref="J51" ca="1">IF( OutlineLevel&lt;VALUE(RIGHT(J$8,1)), "",  IF( ISNUMBER(OFFSET(J51,-1,0)), OFFSET(J51,-1,0)+IF(OutlineLevel=VALUE(RIGHT(J$8,1)),1,0),1) )</f>
        <v>6</v>
      </c>
      <c r="K51" s="3" cm="1">
        <f t="array" aca="1" ref="K51" ca="1">IF( OutlineLevel&lt;VALUE(RIGHT(K$8,1)), "",  IF( ISNUMBER(OFFSET(K51,-1,0)), OFFSET(K51,-1,0)+IF(OutlineLevel=VALUE(RIGHT(K$8,1)),1,0),1) )</f>
        <v>1</v>
      </c>
      <c r="L51" s="3" cm="1">
        <f t="array" aca="1" ref="L51" ca="1">IF( OutlineLevel&lt;VALUE(RIGHT(L$8,1)), "",  IF( ISNUMBER(OFFSET(L51,-1,0)), OFFSET(L51,-1,0)+IF(OutlineLevel=VALUE(RIGHT(L$8,1)),1,0),1) )</f>
        <v>2</v>
      </c>
      <c r="M51" s="3" cm="1">
        <f t="array" aca="1" ref="M51" ca="1">IF( OutlineLevel&lt;VALUE(RIGHT(M$8,1)), "",  IF( ISNUMBER(OFFSET(M51,-1,0)), OFFSET(M51,-1,0)+IF(OutlineLevel=VALUE(RIGHT(M$8,1)),1,0),1) )</f>
        <v>3</v>
      </c>
      <c r="N51" s="3" cm="1">
        <f t="array" aca="1" ref="N51" ca="1">IF( OutlineLevel&lt;VALUE(RIGHT(N$8,1)), "",  IF( ISNUMBER(OFFSET(N51,-1,0)), OFFSET(N51,-1,0)+IF(OutlineLevel=VALUE(RIGHT(N$8,1)),1,0),1) )</f>
        <v>1</v>
      </c>
      <c r="O51" s="3" cm="1">
        <f t="array" aca="1" ref="O51" ca="1">IF( OutlineLevel&lt;VALUE(RIGHT(O$8,1)), "",  IF( ISNUMBER(OFFSET(O51,-1,0)), OFFSET(O51,-1,0)+IF(OutlineLevel=VALUE(RIGHT(O$8,1)),1,0),1) )</f>
        <v>5</v>
      </c>
      <c r="P51" s="3" t="b">
        <f ca="1">Table14[[#This Row],[Level]]&lt;OFFSET(P51,1,1)</f>
        <v>0</v>
      </c>
      <c r="Q51" s="3" cm="1">
        <f t="array" ref="Q51">OutlineLevel</f>
        <v>6</v>
      </c>
    </row>
    <row r="52" spans="1:17" ht="30" outlineLevel="5" x14ac:dyDescent="0.25">
      <c r="A52"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ECM:6.1.2.3.1.6</v>
      </c>
      <c r="B52" s="3" t="s">
        <v>24</v>
      </c>
      <c r="C52" s="4" t="s">
        <v>111</v>
      </c>
      <c r="D52" s="4"/>
      <c r="E52" s="7"/>
      <c r="F52" s="7"/>
      <c r="G52" s="4"/>
      <c r="H52" s="4"/>
      <c r="I52" s="4"/>
      <c r="J52" s="3" cm="1">
        <f t="array" aca="1" ref="J52" ca="1">IF( OutlineLevel&lt;VALUE(RIGHT(J$8,1)), "",  IF( ISNUMBER(OFFSET(J52,-1,0)), OFFSET(J52,-1,0)+IF(OutlineLevel=VALUE(RIGHT(J$8,1)),1,0),1) )</f>
        <v>6</v>
      </c>
      <c r="K52" s="3" cm="1">
        <f t="array" aca="1" ref="K52" ca="1">IF( OutlineLevel&lt;VALUE(RIGHT(K$8,1)), "",  IF( ISNUMBER(OFFSET(K52,-1,0)), OFFSET(K52,-1,0)+IF(OutlineLevel=VALUE(RIGHT(K$8,1)),1,0),1) )</f>
        <v>1</v>
      </c>
      <c r="L52" s="3" cm="1">
        <f t="array" aca="1" ref="L52" ca="1">IF( OutlineLevel&lt;VALUE(RIGHT(L$8,1)), "",  IF( ISNUMBER(OFFSET(L52,-1,0)), OFFSET(L52,-1,0)+IF(OutlineLevel=VALUE(RIGHT(L$8,1)),1,0),1) )</f>
        <v>2</v>
      </c>
      <c r="M52" s="3" cm="1">
        <f t="array" aca="1" ref="M52" ca="1">IF( OutlineLevel&lt;VALUE(RIGHT(M$8,1)), "",  IF( ISNUMBER(OFFSET(M52,-1,0)), OFFSET(M52,-1,0)+IF(OutlineLevel=VALUE(RIGHT(M$8,1)),1,0),1) )</f>
        <v>3</v>
      </c>
      <c r="N52" s="3" cm="1">
        <f t="array" aca="1" ref="N52" ca="1">IF( OutlineLevel&lt;VALUE(RIGHT(N$8,1)), "",  IF( ISNUMBER(OFFSET(N52,-1,0)), OFFSET(N52,-1,0)+IF(OutlineLevel=VALUE(RIGHT(N$8,1)),1,0),1) )</f>
        <v>1</v>
      </c>
      <c r="O52" s="3" cm="1">
        <f t="array" aca="1" ref="O52" ca="1">IF( OutlineLevel&lt;VALUE(RIGHT(O$8,1)), "",  IF( ISNUMBER(OFFSET(O52,-1,0)), OFFSET(O52,-1,0)+IF(OutlineLevel=VALUE(RIGHT(O$8,1)),1,0),1) )</f>
        <v>6</v>
      </c>
      <c r="P52" s="3" t="b">
        <f ca="1">Table14[[#This Row],[Level]]&lt;OFFSET(P52,1,1)</f>
        <v>0</v>
      </c>
      <c r="Q52" s="3" cm="1">
        <f t="array" ref="Q52">OutlineLevel</f>
        <v>6</v>
      </c>
    </row>
    <row r="53" spans="1:17" ht="45" outlineLevel="5" x14ac:dyDescent="0.25">
      <c r="A53"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ECM:6.1.2.3.1.7</v>
      </c>
      <c r="B53" s="3" t="s">
        <v>24</v>
      </c>
      <c r="C53" s="4" t="s">
        <v>112</v>
      </c>
      <c r="D53" s="4"/>
      <c r="E53" s="7"/>
      <c r="F53" s="7"/>
      <c r="G53" s="4"/>
      <c r="H53" s="4"/>
      <c r="I53" s="4"/>
      <c r="J53" s="3" cm="1">
        <f t="array" aca="1" ref="J53" ca="1">IF( OutlineLevel&lt;VALUE(RIGHT(J$8,1)), "",  IF( ISNUMBER(OFFSET(J53,-1,0)), OFFSET(J53,-1,0)+IF(OutlineLevel=VALUE(RIGHT(J$8,1)),1,0),1) )</f>
        <v>6</v>
      </c>
      <c r="K53" s="3" cm="1">
        <f t="array" aca="1" ref="K53" ca="1">IF( OutlineLevel&lt;VALUE(RIGHT(K$8,1)), "",  IF( ISNUMBER(OFFSET(K53,-1,0)), OFFSET(K53,-1,0)+IF(OutlineLevel=VALUE(RIGHT(K$8,1)),1,0),1) )</f>
        <v>1</v>
      </c>
      <c r="L53" s="3" cm="1">
        <f t="array" aca="1" ref="L53" ca="1">IF( OutlineLevel&lt;VALUE(RIGHT(L$8,1)), "",  IF( ISNUMBER(OFFSET(L53,-1,0)), OFFSET(L53,-1,0)+IF(OutlineLevel=VALUE(RIGHT(L$8,1)),1,0),1) )</f>
        <v>2</v>
      </c>
      <c r="M53" s="3" cm="1">
        <f t="array" aca="1" ref="M53" ca="1">IF( OutlineLevel&lt;VALUE(RIGHT(M$8,1)), "",  IF( ISNUMBER(OFFSET(M53,-1,0)), OFFSET(M53,-1,0)+IF(OutlineLevel=VALUE(RIGHT(M$8,1)),1,0),1) )</f>
        <v>3</v>
      </c>
      <c r="N53" s="3" cm="1">
        <f t="array" aca="1" ref="N53" ca="1">IF( OutlineLevel&lt;VALUE(RIGHT(N$8,1)), "",  IF( ISNUMBER(OFFSET(N53,-1,0)), OFFSET(N53,-1,0)+IF(OutlineLevel=VALUE(RIGHT(N$8,1)),1,0),1) )</f>
        <v>1</v>
      </c>
      <c r="O53" s="3" cm="1">
        <f t="array" aca="1" ref="O53" ca="1">IF( OutlineLevel&lt;VALUE(RIGHT(O$8,1)), "",  IF( ISNUMBER(OFFSET(O53,-1,0)), OFFSET(O53,-1,0)+IF(OutlineLevel=VALUE(RIGHT(O$8,1)),1,0),1) )</f>
        <v>7</v>
      </c>
      <c r="P53" s="3" t="b">
        <f ca="1">Table14[[#This Row],[Level]]&lt;OFFSET(P53,1,1)</f>
        <v>0</v>
      </c>
      <c r="Q53" s="3" cm="1">
        <f t="array" ref="Q53">OutlineLevel</f>
        <v>6</v>
      </c>
    </row>
    <row r="54" spans="1:17" ht="30" outlineLevel="4" x14ac:dyDescent="0.25">
      <c r="A54"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ECM:6.1.2.3.2</v>
      </c>
      <c r="B54" s="3" t="s">
        <v>35</v>
      </c>
      <c r="C54" s="4" t="s">
        <v>91</v>
      </c>
      <c r="D54" s="4"/>
      <c r="E54" s="7"/>
      <c r="F54" s="7"/>
      <c r="G54" s="4" t="s">
        <v>93</v>
      </c>
      <c r="H54" s="4"/>
      <c r="I54" s="4"/>
      <c r="J54" s="3" cm="1">
        <f t="array" aca="1" ref="J54" ca="1">IF( OutlineLevel&lt;VALUE(RIGHT(J$8,1)), "",  IF( ISNUMBER(OFFSET(J54,-1,0)), OFFSET(J54,-1,0)+IF(OutlineLevel=VALUE(RIGHT(J$8,1)),1,0),1) )</f>
        <v>6</v>
      </c>
      <c r="K54" s="3" cm="1">
        <f t="array" aca="1" ref="K54" ca="1">IF( OutlineLevel&lt;VALUE(RIGHT(K$8,1)), "",  IF( ISNUMBER(OFFSET(K54,-1,0)), OFFSET(K54,-1,0)+IF(OutlineLevel=VALUE(RIGHT(K$8,1)),1,0),1) )</f>
        <v>1</v>
      </c>
      <c r="L54" s="3" cm="1">
        <f t="array" aca="1" ref="L54" ca="1">IF( OutlineLevel&lt;VALUE(RIGHT(L$8,1)), "",  IF( ISNUMBER(OFFSET(L54,-1,0)), OFFSET(L54,-1,0)+IF(OutlineLevel=VALUE(RIGHT(L$8,1)),1,0),1) )</f>
        <v>2</v>
      </c>
      <c r="M54" s="3" cm="1">
        <f t="array" aca="1" ref="M54" ca="1">IF( OutlineLevel&lt;VALUE(RIGHT(M$8,1)), "",  IF( ISNUMBER(OFFSET(M54,-1,0)), OFFSET(M54,-1,0)+IF(OutlineLevel=VALUE(RIGHT(M$8,1)),1,0),1) )</f>
        <v>3</v>
      </c>
      <c r="N54" s="3" cm="1">
        <f t="array" aca="1" ref="N54" ca="1">IF( OutlineLevel&lt;VALUE(RIGHT(N$8,1)), "",  IF( ISNUMBER(OFFSET(N54,-1,0)), OFFSET(N54,-1,0)+IF(OutlineLevel=VALUE(RIGHT(N$8,1)),1,0),1) )</f>
        <v>2</v>
      </c>
      <c r="O54" s="3" t="str" cm="1">
        <f t="array" aca="1" ref="O54" ca="1">IF( OutlineLevel&lt;VALUE(RIGHT(O$8,1)), "",  IF( ISNUMBER(OFFSET(O54,-1,0)), OFFSET(O54,-1,0)+IF(OutlineLevel=VALUE(RIGHT(O$8,1)),1,0),1) )</f>
        <v/>
      </c>
      <c r="P54" s="3" t="b">
        <f ca="1">Table14[[#This Row],[Level]]&lt;OFFSET(P54,1,1)</f>
        <v>0</v>
      </c>
      <c r="Q54" s="3" cm="1">
        <f t="array" ref="Q54">OutlineLevel</f>
        <v>5</v>
      </c>
    </row>
    <row r="55" spans="1:17" ht="30" outlineLevel="4" x14ac:dyDescent="0.25">
      <c r="A55"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ECM:6.1.2.3.3</v>
      </c>
      <c r="B55" s="3" t="s">
        <v>35</v>
      </c>
      <c r="C55" s="4" t="s">
        <v>92</v>
      </c>
      <c r="D55" s="4"/>
      <c r="E55" s="7"/>
      <c r="F55" s="7"/>
      <c r="G55" s="4" t="s">
        <v>93</v>
      </c>
      <c r="H55" s="4"/>
      <c r="I55" s="4"/>
      <c r="J55" s="3" cm="1">
        <f t="array" aca="1" ref="J55" ca="1">IF( OutlineLevel&lt;VALUE(RIGHT(J$8,1)), "",  IF( ISNUMBER(OFFSET(J55,-1,0)), OFFSET(J55,-1,0)+IF(OutlineLevel=VALUE(RIGHT(J$8,1)),1,0),1) )</f>
        <v>6</v>
      </c>
      <c r="K55" s="3" cm="1">
        <f t="array" aca="1" ref="K55" ca="1">IF( OutlineLevel&lt;VALUE(RIGHT(K$8,1)), "",  IF( ISNUMBER(OFFSET(K55,-1,0)), OFFSET(K55,-1,0)+IF(OutlineLevel=VALUE(RIGHT(K$8,1)),1,0),1) )</f>
        <v>1</v>
      </c>
      <c r="L55" s="3" cm="1">
        <f t="array" aca="1" ref="L55" ca="1">IF( OutlineLevel&lt;VALUE(RIGHT(L$8,1)), "",  IF( ISNUMBER(OFFSET(L55,-1,0)), OFFSET(L55,-1,0)+IF(OutlineLevel=VALUE(RIGHT(L$8,1)),1,0),1) )</f>
        <v>2</v>
      </c>
      <c r="M55" s="3" cm="1">
        <f t="array" aca="1" ref="M55" ca="1">IF( OutlineLevel&lt;VALUE(RIGHT(M$8,1)), "",  IF( ISNUMBER(OFFSET(M55,-1,0)), OFFSET(M55,-1,0)+IF(OutlineLevel=VALUE(RIGHT(M$8,1)),1,0),1) )</f>
        <v>3</v>
      </c>
      <c r="N55" s="3" cm="1">
        <f t="array" aca="1" ref="N55" ca="1">IF( OutlineLevel&lt;VALUE(RIGHT(N$8,1)), "",  IF( ISNUMBER(OFFSET(N55,-1,0)), OFFSET(N55,-1,0)+IF(OutlineLevel=VALUE(RIGHT(N$8,1)),1,0),1) )</f>
        <v>3</v>
      </c>
      <c r="O55" s="3" t="str" cm="1">
        <f t="array" aca="1" ref="O55" ca="1">IF( OutlineLevel&lt;VALUE(RIGHT(O$8,1)), "",  IF( ISNUMBER(OFFSET(O55,-1,0)), OFFSET(O55,-1,0)+IF(OutlineLevel=VALUE(RIGHT(O$8,1)),1,0),1) )</f>
        <v/>
      </c>
      <c r="P55" s="3" t="b">
        <f ca="1">Table14[[#This Row],[Level]]&lt;OFFSET(P55,1,1)</f>
        <v>0</v>
      </c>
      <c r="Q55" s="3" cm="1">
        <f t="array" ref="Q55">OutlineLevel</f>
        <v>5</v>
      </c>
    </row>
  </sheetData>
  <mergeCells count="8">
    <mergeCell ref="A5:B5"/>
    <mergeCell ref="C5:D5"/>
    <mergeCell ref="A2:B2"/>
    <mergeCell ref="C2:D2"/>
    <mergeCell ref="A3:B3"/>
    <mergeCell ref="C3:D3"/>
    <mergeCell ref="A4:B4"/>
    <mergeCell ref="C4:D4"/>
  </mergeCells>
  <conditionalFormatting sqref="C9:C55">
    <cfRule type="expression" dxfId="15" priority="48" stopIfTrue="1">
      <formula>AND($Q9=1,$P9)</formula>
    </cfRule>
    <cfRule type="expression" dxfId="14" priority="49" stopIfTrue="1">
      <formula>AND($Q9=2,$P9)</formula>
    </cfRule>
    <cfRule type="expression" dxfId="13" priority="50" stopIfTrue="1">
      <formula>AND($Q9=3,$P9)</formula>
    </cfRule>
    <cfRule type="expression" dxfId="12" priority="51" stopIfTrue="1">
      <formula>AND($Q9=4,$P9)</formula>
    </cfRule>
    <cfRule type="expression" dxfId="11" priority="53" stopIfTrue="1">
      <formula>AND($Q9=5,$P9)</formula>
    </cfRule>
    <cfRule type="expression" dxfId="10" priority="54" stopIfTrue="1">
      <formula>$Q9=2</formula>
    </cfRule>
    <cfRule type="expression" dxfId="9" priority="55" stopIfTrue="1">
      <formula>$Q9=3</formula>
    </cfRule>
    <cfRule type="expression" dxfId="8" priority="56" stopIfTrue="1">
      <formula>$Q9=4</formula>
    </cfRule>
    <cfRule type="expression" dxfId="7" priority="57" stopIfTrue="1">
      <formula>$Q9=5</formula>
    </cfRule>
    <cfRule type="expression" dxfId="6" priority="58" stopIfTrue="1">
      <formula>$Q9&gt;=6</formula>
    </cfRule>
  </conditionalFormatting>
  <conditionalFormatting sqref="A9:Q55">
    <cfRule type="expression" dxfId="5" priority="1">
      <formula>$Q9=1</formula>
    </cfRule>
    <cfRule type="expression" dxfId="4" priority="2">
      <formula>$Q9=2</formula>
    </cfRule>
    <cfRule type="expression" dxfId="3" priority="3">
      <formula>$Q9=3</formula>
    </cfRule>
    <cfRule type="expression" dxfId="2" priority="4">
      <formula>$Q9=4</formula>
    </cfRule>
    <cfRule type="expression" dxfId="1" priority="39">
      <formula>$Q9=5</formula>
    </cfRule>
    <cfRule type="expression" dxfId="0" priority="44">
      <formula>$Q9=6</formula>
    </cfRule>
  </conditionalFormatting>
  <dataValidations count="3">
    <dataValidation type="list" allowBlank="1" showInputMessage="1" showErrorMessage="1" sqref="E9:E55" xr:uid="{3E9C8D6E-0A86-46BA-85EF-F423858110FB}">
      <formula1>$G$2:$G$5</formula1>
    </dataValidation>
    <dataValidation type="list" allowBlank="1" showInputMessage="1" showErrorMessage="1" sqref="F9:F55" xr:uid="{07378F8B-267E-4219-9D80-8C6B1AEFFB84}">
      <formula1>$H$2:$H$6</formula1>
    </dataValidation>
    <dataValidation type="list" allowBlank="1" showInputMessage="1" showErrorMessage="1" sqref="B9:B55" xr:uid="{0D7AB2A9-EB1E-4E0D-9678-9FE2857D2CFD}">
      <formula1>$F$2:$F$6</formula1>
    </dataValidation>
  </dataValidations>
  <pageMargins left="0.7" right="0.7" top="0.75" bottom="0.75" header="0.3" footer="0.3"/>
  <pageSetup scale="50" fitToHeight="0" orientation="landscape" r:id="rId1"/>
  <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FA4A0-9215-4AAE-B4ED-3747F885FCDE}">
  <sheetPr>
    <pageSetUpPr fitToPage="1"/>
  </sheetPr>
  <dimension ref="B2:B3"/>
  <sheetViews>
    <sheetView workbookViewId="0">
      <selection activeCell="B4" sqref="B4"/>
    </sheetView>
  </sheetViews>
  <sheetFormatPr defaultRowHeight="15" x14ac:dyDescent="0.25"/>
  <sheetData>
    <row r="2" spans="2:2" x14ac:dyDescent="0.25">
      <c r="B2" t="s">
        <v>152</v>
      </c>
    </row>
    <row r="3" spans="2:2" x14ac:dyDescent="0.25">
      <c r="B3" t="s">
        <v>153</v>
      </c>
    </row>
  </sheetData>
  <pageMargins left="0.7" right="0.7" top="0.75" bottom="0.75" header="0.3" footer="0.3"/>
  <pageSetup scale="8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E3FA1-056B-4646-96ED-5DDCD13B6428}">
  <sheetPr codeName="Sheet2">
    <pageSetUpPr fitToPage="1"/>
  </sheetPr>
  <dimension ref="A1"/>
  <sheetViews>
    <sheetView showGridLines="0" zoomScale="85" zoomScaleNormal="85" workbookViewId="0">
      <selection activeCell="K45" sqref="K45"/>
    </sheetView>
  </sheetViews>
  <sheetFormatPr defaultRowHeight="15" x14ac:dyDescent="0.25"/>
  <sheetData/>
  <sheetProtection selectLockedCells="1" selectUnlockedCells="1"/>
  <pageMargins left="0.7" right="0.7" top="0.75" bottom="0.75" header="0.3" footer="0.3"/>
  <pageSetup scale="41"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7DB3F-0B59-4DD8-A505-11D78431FF72}">
  <dimension ref="A1:S45"/>
  <sheetViews>
    <sheetView tabSelected="1" zoomScale="130" zoomScaleNormal="130" workbookViewId="0">
      <selection activeCell="B11" sqref="B11"/>
    </sheetView>
  </sheetViews>
  <sheetFormatPr defaultRowHeight="15" x14ac:dyDescent="0.25"/>
  <cols>
    <col min="2" max="2" width="37.7109375" customWidth="1"/>
    <col min="3" max="4" width="25.5703125" customWidth="1"/>
  </cols>
  <sheetData>
    <row r="1" spans="1:4" ht="45.75" customHeight="1" x14ac:dyDescent="0.25"/>
    <row r="2" spans="1:4" ht="21" x14ac:dyDescent="0.35">
      <c r="A2" s="13" t="s">
        <v>136</v>
      </c>
    </row>
    <row r="3" spans="1:4" x14ac:dyDescent="0.25">
      <c r="A3" s="2"/>
      <c r="B3" t="s">
        <v>200</v>
      </c>
      <c r="D3" s="4"/>
    </row>
    <row r="4" spans="1:4" x14ac:dyDescent="0.25">
      <c r="A4" s="2"/>
      <c r="B4" s="28" t="s">
        <v>202</v>
      </c>
      <c r="C4" s="4"/>
      <c r="D4" s="4"/>
    </row>
    <row r="5" spans="1:4" x14ac:dyDescent="0.25">
      <c r="A5" s="2"/>
      <c r="B5" s="28" t="s">
        <v>201</v>
      </c>
      <c r="D5" s="2"/>
    </row>
    <row r="6" spans="1:4" x14ac:dyDescent="0.25">
      <c r="A6" s="2"/>
      <c r="B6" s="28" t="s">
        <v>203</v>
      </c>
      <c r="C6" s="2"/>
      <c r="D6" s="2"/>
    </row>
    <row r="7" spans="1:4" x14ac:dyDescent="0.25">
      <c r="B7" s="2" t="s">
        <v>199</v>
      </c>
      <c r="D7" s="2"/>
    </row>
    <row r="8" spans="1:4" x14ac:dyDescent="0.25">
      <c r="B8" s="29" t="s">
        <v>205</v>
      </c>
    </row>
    <row r="9" spans="1:4" x14ac:dyDescent="0.25">
      <c r="A9" s="2"/>
      <c r="B9" s="28" t="s">
        <v>204</v>
      </c>
      <c r="C9" s="4"/>
      <c r="D9" s="2"/>
    </row>
    <row r="10" spans="1:4" x14ac:dyDescent="0.25">
      <c r="A10" s="2"/>
      <c r="B10" s="2"/>
      <c r="C10" s="2"/>
      <c r="D10" s="2"/>
    </row>
    <row r="11" spans="1:4" x14ac:dyDescent="0.25">
      <c r="A11" s="2"/>
      <c r="B11" s="2"/>
      <c r="C11" s="2"/>
      <c r="D11" s="2"/>
    </row>
    <row r="12" spans="1:4" x14ac:dyDescent="0.25">
      <c r="A12" s="11" t="s">
        <v>117</v>
      </c>
      <c r="B12" s="11" t="s">
        <v>115</v>
      </c>
      <c r="C12" s="11" t="s">
        <v>119</v>
      </c>
      <c r="D12" s="11" t="s">
        <v>120</v>
      </c>
    </row>
    <row r="13" spans="1:4" x14ac:dyDescent="0.25">
      <c r="A13" s="2"/>
      <c r="B13" s="2"/>
      <c r="C13" s="2"/>
      <c r="D13" s="2"/>
    </row>
    <row r="14" spans="1:4" x14ac:dyDescent="0.25">
      <c r="A14" s="12" t="s">
        <v>132</v>
      </c>
      <c r="B14" s="2"/>
      <c r="C14" s="2"/>
      <c r="D14" s="2"/>
    </row>
    <row r="15" spans="1:4" x14ac:dyDescent="0.25">
      <c r="A15" s="2"/>
      <c r="B15" s="2"/>
      <c r="C15" s="2"/>
      <c r="D15" s="2"/>
    </row>
    <row r="16" spans="1:4" x14ac:dyDescent="0.25">
      <c r="A16" s="2"/>
      <c r="B16" s="2"/>
      <c r="C16" s="2"/>
      <c r="D16" s="2"/>
    </row>
    <row r="17" spans="1:4" x14ac:dyDescent="0.25">
      <c r="A17" s="2"/>
      <c r="B17" s="2"/>
      <c r="C17" s="2"/>
      <c r="D17" s="2"/>
    </row>
    <row r="18" spans="1:4" x14ac:dyDescent="0.25">
      <c r="A18" s="2"/>
      <c r="C18" s="2"/>
      <c r="D18" s="2"/>
    </row>
    <row r="19" spans="1:4" x14ac:dyDescent="0.25">
      <c r="A19" s="2"/>
      <c r="B19" s="2"/>
      <c r="C19" s="2"/>
      <c r="D19" s="2"/>
    </row>
    <row r="20" spans="1:4" x14ac:dyDescent="0.25">
      <c r="B20" s="2"/>
    </row>
    <row r="45" spans="19:19" x14ac:dyDescent="0.25">
      <c r="S45" t="s">
        <v>145</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5BCEC-250D-477A-A51E-5590E6A03085}">
  <sheetPr>
    <pageSetUpPr fitToPage="1"/>
  </sheetPr>
  <dimension ref="A1:S45"/>
  <sheetViews>
    <sheetView showGridLines="0" zoomScale="70" zoomScaleNormal="70" workbookViewId="0">
      <selection activeCell="T9" sqref="T9"/>
    </sheetView>
  </sheetViews>
  <sheetFormatPr defaultRowHeight="15" x14ac:dyDescent="0.25"/>
  <cols>
    <col min="2" max="2" width="37.7109375" customWidth="1"/>
    <col min="3" max="4" width="25.5703125" customWidth="1"/>
  </cols>
  <sheetData>
    <row r="1" spans="1:4" ht="45.75" customHeight="1" x14ac:dyDescent="0.25"/>
    <row r="2" spans="1:4" ht="21" x14ac:dyDescent="0.35">
      <c r="A2" s="13" t="s">
        <v>136</v>
      </c>
    </row>
    <row r="3" spans="1:4" x14ac:dyDescent="0.25">
      <c r="A3" s="2" t="s">
        <v>146</v>
      </c>
      <c r="B3" s="2"/>
      <c r="C3" s="4"/>
      <c r="D3" s="4"/>
    </row>
    <row r="4" spans="1:4" x14ac:dyDescent="0.25">
      <c r="A4" s="2" t="s">
        <v>147</v>
      </c>
      <c r="B4" s="2"/>
      <c r="C4" s="4"/>
      <c r="D4" s="4"/>
    </row>
    <row r="5" spans="1:4" x14ac:dyDescent="0.25">
      <c r="A5" s="2" t="s">
        <v>150</v>
      </c>
      <c r="B5" s="2"/>
      <c r="C5" s="2"/>
      <c r="D5" s="2"/>
    </row>
    <row r="6" spans="1:4" x14ac:dyDescent="0.25">
      <c r="A6" s="2" t="s">
        <v>151</v>
      </c>
      <c r="B6" s="4"/>
      <c r="C6" s="2"/>
      <c r="D6" s="2"/>
    </row>
    <row r="7" spans="1:4" x14ac:dyDescent="0.25">
      <c r="B7" s="2" t="s">
        <v>148</v>
      </c>
      <c r="C7" s="2"/>
      <c r="D7" s="2"/>
    </row>
    <row r="8" spans="1:4" x14ac:dyDescent="0.25">
      <c r="B8" t="s">
        <v>149</v>
      </c>
    </row>
    <row r="9" spans="1:4" x14ac:dyDescent="0.25">
      <c r="A9" s="2"/>
      <c r="B9" s="4"/>
      <c r="C9" s="4"/>
      <c r="D9" s="2"/>
    </row>
    <row r="10" spans="1:4" x14ac:dyDescent="0.25">
      <c r="A10" s="2"/>
      <c r="B10" s="2"/>
      <c r="C10" s="2"/>
      <c r="D10" s="2"/>
    </row>
    <row r="11" spans="1:4" x14ac:dyDescent="0.25">
      <c r="A11" s="2"/>
      <c r="B11" s="2"/>
      <c r="C11" s="2"/>
      <c r="D11" s="2"/>
    </row>
    <row r="12" spans="1:4" x14ac:dyDescent="0.25">
      <c r="A12" s="11" t="s">
        <v>117</v>
      </c>
      <c r="B12" s="11" t="s">
        <v>115</v>
      </c>
      <c r="C12" s="11" t="s">
        <v>119</v>
      </c>
      <c r="D12" s="11" t="s">
        <v>120</v>
      </c>
    </row>
    <row r="13" spans="1:4" x14ac:dyDescent="0.25">
      <c r="A13" s="2"/>
      <c r="B13" s="2"/>
      <c r="C13" s="2"/>
      <c r="D13" s="2"/>
    </row>
    <row r="14" spans="1:4" x14ac:dyDescent="0.25">
      <c r="A14" s="12" t="s">
        <v>132</v>
      </c>
      <c r="B14" s="2"/>
      <c r="C14" s="2"/>
      <c r="D14" s="2"/>
    </row>
    <row r="15" spans="1:4" x14ac:dyDescent="0.25">
      <c r="A15" s="2"/>
      <c r="B15" s="2"/>
      <c r="C15" s="2"/>
      <c r="D15" s="2"/>
    </row>
    <row r="16" spans="1:4" x14ac:dyDescent="0.25">
      <c r="A16" s="2"/>
      <c r="B16" s="2"/>
      <c r="C16" s="2"/>
      <c r="D16" s="2"/>
    </row>
    <row r="17" spans="1:4" x14ac:dyDescent="0.25">
      <c r="A17" s="2"/>
      <c r="B17" s="2"/>
      <c r="C17" s="2"/>
      <c r="D17" s="2"/>
    </row>
    <row r="18" spans="1:4" x14ac:dyDescent="0.25">
      <c r="A18" s="2"/>
      <c r="C18" s="2"/>
      <c r="D18" s="2"/>
    </row>
    <row r="19" spans="1:4" x14ac:dyDescent="0.25">
      <c r="A19" s="2"/>
      <c r="B19" s="2"/>
      <c r="C19" s="2"/>
      <c r="D19" s="2"/>
    </row>
    <row r="20" spans="1:4" x14ac:dyDescent="0.25">
      <c r="B20" s="2"/>
    </row>
    <row r="45" spans="19:19" x14ac:dyDescent="0.25">
      <c r="S45" t="s">
        <v>145</v>
      </c>
    </row>
  </sheetData>
  <pageMargins left="0.7" right="0.7" top="0.75" bottom="0.75" header="0.3" footer="0.3"/>
  <pageSetup scale="33" orientation="landscape" horizontalDpi="4294967293"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E82E9-BAEC-4663-9749-019A03EB8C42}">
  <sheetPr>
    <pageSetUpPr fitToPage="1"/>
  </sheetPr>
  <dimension ref="A1:S44"/>
  <sheetViews>
    <sheetView showGridLines="0" zoomScale="70" zoomScaleNormal="70" workbookViewId="0">
      <selection sqref="A1:XFD1"/>
    </sheetView>
  </sheetViews>
  <sheetFormatPr defaultRowHeight="15" x14ac:dyDescent="0.25"/>
  <cols>
    <col min="2" max="2" width="37.7109375" customWidth="1"/>
    <col min="3" max="4" width="25.5703125" customWidth="1"/>
  </cols>
  <sheetData>
    <row r="1" spans="1:4" ht="45.75" customHeight="1" x14ac:dyDescent="0.25"/>
    <row r="2" spans="1:4" ht="21" x14ac:dyDescent="0.35">
      <c r="A2" s="13" t="s">
        <v>136</v>
      </c>
    </row>
    <row r="3" spans="1:4" ht="36.75" customHeight="1" x14ac:dyDescent="0.25">
      <c r="A3" s="26" t="s">
        <v>137</v>
      </c>
      <c r="B3" s="27"/>
      <c r="C3" s="27"/>
      <c r="D3" s="27"/>
    </row>
    <row r="4" spans="1:4" x14ac:dyDescent="0.25">
      <c r="A4" s="11" t="s">
        <v>117</v>
      </c>
      <c r="B4" s="11" t="s">
        <v>115</v>
      </c>
      <c r="C4" s="11" t="s">
        <v>119</v>
      </c>
      <c r="D4" s="11" t="s">
        <v>120</v>
      </c>
    </row>
    <row r="5" spans="1:4" x14ac:dyDescent="0.25">
      <c r="A5" s="2"/>
      <c r="B5" s="2"/>
      <c r="C5" s="4"/>
      <c r="D5" s="4"/>
    </row>
    <row r="6" spans="1:4" x14ac:dyDescent="0.25">
      <c r="A6" s="2"/>
      <c r="B6" s="2"/>
      <c r="C6" s="2"/>
      <c r="D6" s="2"/>
    </row>
    <row r="7" spans="1:4" x14ac:dyDescent="0.25">
      <c r="A7" s="2"/>
      <c r="B7" s="4"/>
      <c r="C7" s="2"/>
      <c r="D7" s="2"/>
    </row>
    <row r="8" spans="1:4" x14ac:dyDescent="0.25">
      <c r="A8" s="2"/>
      <c r="B8" s="4"/>
      <c r="C8" s="4"/>
      <c r="D8" s="2"/>
    </row>
    <row r="9" spans="1:4" x14ac:dyDescent="0.25">
      <c r="A9" s="2"/>
      <c r="B9" s="2"/>
      <c r="C9" s="2"/>
      <c r="D9" s="2"/>
    </row>
    <row r="10" spans="1:4" x14ac:dyDescent="0.25">
      <c r="A10" s="2"/>
      <c r="B10" s="2"/>
      <c r="C10" s="2"/>
      <c r="D10" s="2"/>
    </row>
    <row r="11" spans="1:4" x14ac:dyDescent="0.25">
      <c r="A11" s="2"/>
      <c r="B11" s="2"/>
      <c r="C11" s="2"/>
      <c r="D11" s="2"/>
    </row>
    <row r="12" spans="1:4" x14ac:dyDescent="0.25">
      <c r="A12" s="2"/>
      <c r="B12" s="2"/>
      <c r="C12" s="2"/>
      <c r="D12" s="2"/>
    </row>
    <row r="13" spans="1:4" x14ac:dyDescent="0.25">
      <c r="A13" s="12" t="s">
        <v>132</v>
      </c>
      <c r="B13" s="2"/>
      <c r="C13" s="2"/>
      <c r="D13" s="2"/>
    </row>
    <row r="14" spans="1:4" x14ac:dyDescent="0.25">
      <c r="A14" s="2" t="s">
        <v>133</v>
      </c>
      <c r="B14" s="2"/>
      <c r="C14" s="2"/>
      <c r="D14" s="2"/>
    </row>
    <row r="15" spans="1:4" x14ac:dyDescent="0.25">
      <c r="A15" s="2"/>
      <c r="B15" s="2"/>
      <c r="C15" s="2"/>
      <c r="D15" s="2"/>
    </row>
    <row r="16" spans="1:4" x14ac:dyDescent="0.25">
      <c r="A16" s="2"/>
      <c r="B16" s="2"/>
      <c r="C16" s="2"/>
      <c r="D16" s="2"/>
    </row>
    <row r="17" spans="1:4" x14ac:dyDescent="0.25">
      <c r="A17" s="2" t="s">
        <v>138</v>
      </c>
      <c r="C17" s="2"/>
      <c r="D17" s="2"/>
    </row>
    <row r="18" spans="1:4" x14ac:dyDescent="0.25">
      <c r="A18" s="2"/>
      <c r="B18" s="2" t="s">
        <v>139</v>
      </c>
      <c r="C18" s="2"/>
      <c r="D18" s="2"/>
    </row>
    <row r="19" spans="1:4" x14ac:dyDescent="0.25">
      <c r="B19" s="2" t="s">
        <v>140</v>
      </c>
    </row>
    <row r="20" spans="1:4" x14ac:dyDescent="0.25">
      <c r="A20" t="s">
        <v>141</v>
      </c>
    </row>
    <row r="21" spans="1:4" x14ac:dyDescent="0.25">
      <c r="B21" t="s">
        <v>142</v>
      </c>
    </row>
    <row r="22" spans="1:4" x14ac:dyDescent="0.25">
      <c r="B22" t="s">
        <v>144</v>
      </c>
    </row>
    <row r="23" spans="1:4" x14ac:dyDescent="0.25">
      <c r="B23" t="s">
        <v>143</v>
      </c>
    </row>
    <row r="44" spans="19:19" x14ac:dyDescent="0.25">
      <c r="S44" t="s">
        <v>145</v>
      </c>
    </row>
  </sheetData>
  <mergeCells count="1">
    <mergeCell ref="A3:D3"/>
  </mergeCells>
  <pageMargins left="0.7" right="0.7" top="0.75" bottom="0.75" header="0.3" footer="0.3"/>
  <pageSetup scale="40" orientation="landscape" horizont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3917F-B1A4-4EAD-89B2-FBB2FEC303C3}">
  <dimension ref="A1"/>
  <sheetViews>
    <sheetView zoomScale="70" zoomScaleNormal="70" workbookViewId="0">
      <selection sqref="A1:XFD1"/>
    </sheetView>
  </sheetViews>
  <sheetFormatPr defaultRowHeight="15" x14ac:dyDescent="0.25"/>
  <sheetData>
    <row r="1" ht="45.75" customHeight="1" x14ac:dyDescent="0.2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BCADE-6A21-44FA-A65C-C17079D3F16A}">
  <sheetPr>
    <pageSetUpPr fitToPage="1"/>
  </sheetPr>
  <dimension ref="A1:D16"/>
  <sheetViews>
    <sheetView showGridLines="0" zoomScaleNormal="100" workbookViewId="0">
      <selection sqref="A1:XFD1"/>
    </sheetView>
  </sheetViews>
  <sheetFormatPr defaultRowHeight="15" x14ac:dyDescent="0.25"/>
  <cols>
    <col min="2" max="2" width="37.7109375" customWidth="1"/>
    <col min="3" max="4" width="25.5703125" customWidth="1"/>
  </cols>
  <sheetData>
    <row r="1" spans="1:4" ht="45.75" customHeight="1" x14ac:dyDescent="0.25"/>
    <row r="2" spans="1:4" x14ac:dyDescent="0.25">
      <c r="A2" s="11" t="s">
        <v>117</v>
      </c>
      <c r="B2" s="11" t="s">
        <v>115</v>
      </c>
      <c r="C2" s="11" t="s">
        <v>119</v>
      </c>
      <c r="D2" s="11" t="s">
        <v>120</v>
      </c>
    </row>
    <row r="3" spans="1:4" ht="45" x14ac:dyDescent="0.25">
      <c r="A3" s="2" t="s">
        <v>118</v>
      </c>
      <c r="B3" s="2" t="s">
        <v>116</v>
      </c>
      <c r="C3" s="4" t="s">
        <v>122</v>
      </c>
      <c r="D3" s="4" t="s">
        <v>121</v>
      </c>
    </row>
    <row r="4" spans="1:4" x14ac:dyDescent="0.25">
      <c r="A4" s="2" t="s">
        <v>123</v>
      </c>
      <c r="B4" s="2" t="s">
        <v>125</v>
      </c>
      <c r="C4" s="2" t="s">
        <v>127</v>
      </c>
      <c r="D4" s="2" t="s">
        <v>125</v>
      </c>
    </row>
    <row r="5" spans="1:4" ht="30" x14ac:dyDescent="0.25">
      <c r="A5" s="2" t="s">
        <v>124</v>
      </c>
      <c r="B5" s="4" t="s">
        <v>131</v>
      </c>
      <c r="C5" s="2" t="s">
        <v>126</v>
      </c>
      <c r="D5" s="2" t="s">
        <v>125</v>
      </c>
    </row>
    <row r="6" spans="1:4" ht="30" x14ac:dyDescent="0.25">
      <c r="A6" s="2" t="s">
        <v>128</v>
      </c>
      <c r="B6" s="4" t="s">
        <v>129</v>
      </c>
      <c r="C6" s="4" t="s">
        <v>130</v>
      </c>
      <c r="D6" s="2" t="s">
        <v>125</v>
      </c>
    </row>
    <row r="7" spans="1:4" x14ac:dyDescent="0.25">
      <c r="A7" s="2" t="s">
        <v>134</v>
      </c>
      <c r="B7" s="2" t="s">
        <v>135</v>
      </c>
      <c r="C7" s="2"/>
      <c r="D7" s="2"/>
    </row>
    <row r="8" spans="1:4" x14ac:dyDescent="0.25">
      <c r="A8" s="2"/>
      <c r="B8" s="2"/>
      <c r="C8" s="2"/>
      <c r="D8" s="2"/>
    </row>
    <row r="9" spans="1:4" x14ac:dyDescent="0.25">
      <c r="A9" s="2"/>
      <c r="B9" s="2"/>
      <c r="C9" s="2"/>
      <c r="D9" s="2"/>
    </row>
    <row r="10" spans="1:4" x14ac:dyDescent="0.25">
      <c r="A10" s="2"/>
      <c r="B10" s="2"/>
      <c r="C10" s="2"/>
      <c r="D10" s="2"/>
    </row>
    <row r="11" spans="1:4" x14ac:dyDescent="0.25">
      <c r="A11" s="12" t="s">
        <v>132</v>
      </c>
      <c r="B11" s="2"/>
      <c r="C11" s="2"/>
      <c r="D11" s="2"/>
    </row>
    <row r="12" spans="1:4" x14ac:dyDescent="0.25">
      <c r="A12" s="2" t="s">
        <v>133</v>
      </c>
      <c r="B12" s="2"/>
      <c r="C12" s="2"/>
      <c r="D12" s="2"/>
    </row>
    <row r="13" spans="1:4" x14ac:dyDescent="0.25">
      <c r="A13" s="2"/>
      <c r="B13" s="2"/>
      <c r="C13" s="2"/>
      <c r="D13" s="2"/>
    </row>
    <row r="14" spans="1:4" x14ac:dyDescent="0.25">
      <c r="A14" s="2"/>
      <c r="B14" s="2"/>
      <c r="C14" s="2"/>
      <c r="D14" s="2"/>
    </row>
    <row r="15" spans="1:4" x14ac:dyDescent="0.25">
      <c r="A15" s="2"/>
      <c r="B15" s="2"/>
      <c r="C15" s="2"/>
      <c r="D15" s="2"/>
    </row>
    <row r="16" spans="1:4" x14ac:dyDescent="0.25">
      <c r="A16" s="2"/>
      <c r="B16" s="2"/>
      <c r="C16" s="2"/>
      <c r="D16" s="2"/>
    </row>
  </sheetData>
  <pageMargins left="0.7" right="0.7" top="0.75" bottom="0.75" header="0.3" footer="0.3"/>
  <pageSetup scale="37" orientation="landscape" horizontalDpi="4294967293"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1E031-284A-46CF-90C7-2BE2DA4D0F50}">
  <dimension ref="B1:B83"/>
  <sheetViews>
    <sheetView workbookViewId="0">
      <selection activeCell="B1" sqref="B1"/>
    </sheetView>
  </sheetViews>
  <sheetFormatPr defaultRowHeight="15" x14ac:dyDescent="0.25"/>
  <cols>
    <col min="1" max="1" width="7.7109375" customWidth="1"/>
    <col min="2" max="2" width="112" customWidth="1"/>
  </cols>
  <sheetData>
    <row r="1" spans="2:2" ht="45.75" customHeight="1" x14ac:dyDescent="0.25"/>
    <row r="3" spans="2:2" ht="51.75" x14ac:dyDescent="0.25">
      <c r="B3" s="14" t="s">
        <v>155</v>
      </c>
    </row>
    <row r="4" spans="2:2" x14ac:dyDescent="0.25">
      <c r="B4" s="15"/>
    </row>
    <row r="5" spans="2:2" ht="17.25" x14ac:dyDescent="0.25">
      <c r="B5" s="14" t="s">
        <v>156</v>
      </c>
    </row>
    <row r="6" spans="2:2" x14ac:dyDescent="0.25">
      <c r="B6" s="15"/>
    </row>
    <row r="7" spans="2:2" ht="34.5" x14ac:dyDescent="0.25">
      <c r="B7" s="14" t="s">
        <v>157</v>
      </c>
    </row>
    <row r="8" spans="2:2" x14ac:dyDescent="0.25">
      <c r="B8" s="15"/>
    </row>
    <row r="9" spans="2:2" x14ac:dyDescent="0.25">
      <c r="B9" s="16" t="s">
        <v>158</v>
      </c>
    </row>
    <row r="10" spans="2:2" x14ac:dyDescent="0.25">
      <c r="B10" s="15"/>
    </row>
    <row r="11" spans="2:2" ht="17.25" x14ac:dyDescent="0.25">
      <c r="B11" s="14"/>
    </row>
    <row r="12" spans="2:2" x14ac:dyDescent="0.25">
      <c r="B12" s="15"/>
    </row>
    <row r="13" spans="2:2" ht="17.25" x14ac:dyDescent="0.25">
      <c r="B13" s="14" t="s">
        <v>159</v>
      </c>
    </row>
    <row r="14" spans="2:2" x14ac:dyDescent="0.25">
      <c r="B14" s="17"/>
    </row>
    <row r="15" spans="2:2" ht="16.5" x14ac:dyDescent="0.25">
      <c r="B15" s="18" t="s">
        <v>160</v>
      </c>
    </row>
    <row r="16" spans="2:2" ht="16.5" x14ac:dyDescent="0.25">
      <c r="B16" s="18" t="s">
        <v>161</v>
      </c>
    </row>
    <row r="17" spans="2:2" ht="16.5" x14ac:dyDescent="0.25">
      <c r="B17" s="18" t="s">
        <v>162</v>
      </c>
    </row>
    <row r="18" spans="2:2" ht="16.5" x14ac:dyDescent="0.25">
      <c r="B18" s="18" t="s">
        <v>163</v>
      </c>
    </row>
    <row r="19" spans="2:2" ht="17.25" x14ac:dyDescent="0.25">
      <c r="B19" s="19"/>
    </row>
    <row r="20" spans="2:2" ht="16.5" x14ac:dyDescent="0.25">
      <c r="B20" s="18" t="s">
        <v>164</v>
      </c>
    </row>
    <row r="21" spans="2:2" ht="16.5" x14ac:dyDescent="0.25">
      <c r="B21" s="18" t="s">
        <v>165</v>
      </c>
    </row>
    <row r="22" spans="2:2" ht="16.5" x14ac:dyDescent="0.25">
      <c r="B22" s="18" t="s">
        <v>166</v>
      </c>
    </row>
    <row r="23" spans="2:2" x14ac:dyDescent="0.25">
      <c r="B23" s="15"/>
    </row>
    <row r="24" spans="2:2" ht="17.25" x14ac:dyDescent="0.25">
      <c r="B24" s="14"/>
    </row>
    <row r="25" spans="2:2" x14ac:dyDescent="0.25">
      <c r="B25" s="15"/>
    </row>
    <row r="26" spans="2:2" ht="17.25" x14ac:dyDescent="0.25">
      <c r="B26" s="14" t="s">
        <v>167</v>
      </c>
    </row>
    <row r="27" spans="2:2" x14ac:dyDescent="0.25">
      <c r="B27" s="17"/>
    </row>
    <row r="28" spans="2:2" ht="16.5" x14ac:dyDescent="0.25">
      <c r="B28" s="18" t="s">
        <v>168</v>
      </c>
    </row>
    <row r="29" spans="2:2" ht="16.5" x14ac:dyDescent="0.25">
      <c r="B29" s="18" t="s">
        <v>169</v>
      </c>
    </row>
    <row r="30" spans="2:2" ht="33" x14ac:dyDescent="0.25">
      <c r="B30" s="18" t="s">
        <v>170</v>
      </c>
    </row>
    <row r="31" spans="2:2" x14ac:dyDescent="0.25">
      <c r="B31" s="15"/>
    </row>
    <row r="32" spans="2:2" ht="17.25" x14ac:dyDescent="0.25">
      <c r="B32" s="14"/>
    </row>
    <row r="33" spans="2:2" x14ac:dyDescent="0.25">
      <c r="B33" s="15"/>
    </row>
    <row r="34" spans="2:2" ht="17.25" x14ac:dyDescent="0.25">
      <c r="B34" s="14" t="s">
        <v>171</v>
      </c>
    </row>
    <row r="35" spans="2:2" x14ac:dyDescent="0.25">
      <c r="B35" s="17"/>
    </row>
    <row r="36" spans="2:2" ht="16.5" x14ac:dyDescent="0.25">
      <c r="B36" s="18" t="s">
        <v>172</v>
      </c>
    </row>
    <row r="37" spans="2:2" ht="16.5" x14ac:dyDescent="0.25">
      <c r="B37" s="18" t="s">
        <v>173</v>
      </c>
    </row>
    <row r="38" spans="2:2" ht="33" x14ac:dyDescent="0.25">
      <c r="B38" s="18" t="s">
        <v>174</v>
      </c>
    </row>
    <row r="39" spans="2:2" ht="17.25" x14ac:dyDescent="0.25">
      <c r="B39" s="19"/>
    </row>
    <row r="40" spans="2:2" ht="16.5" x14ac:dyDescent="0.25">
      <c r="B40" s="18" t="s">
        <v>175</v>
      </c>
    </row>
    <row r="41" spans="2:2" ht="16.5" x14ac:dyDescent="0.25">
      <c r="B41" s="18" t="s">
        <v>176</v>
      </c>
    </row>
    <row r="42" spans="2:2" ht="16.5" x14ac:dyDescent="0.25">
      <c r="B42" s="18" t="s">
        <v>177</v>
      </c>
    </row>
    <row r="43" spans="2:2" ht="16.5" x14ac:dyDescent="0.25">
      <c r="B43" s="18" t="s">
        <v>178</v>
      </c>
    </row>
    <row r="44" spans="2:2" ht="33" x14ac:dyDescent="0.25">
      <c r="B44" s="18" t="s">
        <v>179</v>
      </c>
    </row>
    <row r="45" spans="2:2" ht="17.25" x14ac:dyDescent="0.25">
      <c r="B45" s="19"/>
    </row>
    <row r="46" spans="2:2" ht="16.5" x14ac:dyDescent="0.25">
      <c r="B46" s="18" t="s">
        <v>180</v>
      </c>
    </row>
    <row r="47" spans="2:2" ht="33" x14ac:dyDescent="0.25">
      <c r="B47" s="18" t="s">
        <v>181</v>
      </c>
    </row>
    <row r="48" spans="2:2" x14ac:dyDescent="0.25">
      <c r="B48" s="15"/>
    </row>
    <row r="49" spans="2:2" ht="17.25" x14ac:dyDescent="0.25">
      <c r="B49" s="14"/>
    </row>
    <row r="50" spans="2:2" x14ac:dyDescent="0.25">
      <c r="B50" s="15"/>
    </row>
    <row r="51" spans="2:2" ht="17.25" x14ac:dyDescent="0.25">
      <c r="B51" s="14" t="s">
        <v>182</v>
      </c>
    </row>
    <row r="52" spans="2:2" x14ac:dyDescent="0.25">
      <c r="B52" s="17"/>
    </row>
    <row r="53" spans="2:2" ht="16.5" x14ac:dyDescent="0.25">
      <c r="B53" s="18" t="s">
        <v>183</v>
      </c>
    </row>
    <row r="54" spans="2:2" ht="16.5" x14ac:dyDescent="0.25">
      <c r="B54" s="18" t="s">
        <v>184</v>
      </c>
    </row>
    <row r="55" spans="2:2" ht="16.5" x14ac:dyDescent="0.25">
      <c r="B55" s="18" t="s">
        <v>185</v>
      </c>
    </row>
    <row r="56" spans="2:2" ht="17.25" x14ac:dyDescent="0.25">
      <c r="B56" s="19"/>
    </row>
    <row r="57" spans="2:2" ht="16.5" x14ac:dyDescent="0.25">
      <c r="B57" s="18" t="s">
        <v>186</v>
      </c>
    </row>
    <row r="58" spans="2:2" ht="16.5" x14ac:dyDescent="0.25">
      <c r="B58" s="18" t="s">
        <v>187</v>
      </c>
    </row>
    <row r="59" spans="2:2" ht="16.5" x14ac:dyDescent="0.25">
      <c r="B59" s="18" t="s">
        <v>188</v>
      </c>
    </row>
    <row r="60" spans="2:2" ht="16.5" x14ac:dyDescent="0.25">
      <c r="B60" s="18" t="s">
        <v>189</v>
      </c>
    </row>
    <row r="61" spans="2:2" ht="16.5" x14ac:dyDescent="0.25">
      <c r="B61" s="18" t="s">
        <v>190</v>
      </c>
    </row>
    <row r="62" spans="2:2" ht="16.5" x14ac:dyDescent="0.25">
      <c r="B62" s="18" t="s">
        <v>191</v>
      </c>
    </row>
    <row r="63" spans="2:2" x14ac:dyDescent="0.25">
      <c r="B63" s="15"/>
    </row>
    <row r="64" spans="2:2" ht="17.25" x14ac:dyDescent="0.25">
      <c r="B64" s="14"/>
    </row>
    <row r="65" spans="2:2" x14ac:dyDescent="0.25">
      <c r="B65" s="15"/>
    </row>
    <row r="66" spans="2:2" ht="17.25" x14ac:dyDescent="0.25">
      <c r="B66" s="14" t="s">
        <v>192</v>
      </c>
    </row>
    <row r="67" spans="2:2" x14ac:dyDescent="0.25">
      <c r="B67" s="17"/>
    </row>
    <row r="68" spans="2:2" ht="16.5" x14ac:dyDescent="0.25">
      <c r="B68" s="18" t="s">
        <v>193</v>
      </c>
    </row>
    <row r="69" spans="2:2" ht="16.5" x14ac:dyDescent="0.25">
      <c r="B69" s="18" t="s">
        <v>194</v>
      </c>
    </row>
    <row r="70" spans="2:2" x14ac:dyDescent="0.25">
      <c r="B70" s="15"/>
    </row>
    <row r="71" spans="2:2" ht="17.25" x14ac:dyDescent="0.25">
      <c r="B71" s="14"/>
    </row>
    <row r="72" spans="2:2" x14ac:dyDescent="0.25">
      <c r="B72" s="15"/>
    </row>
    <row r="73" spans="2:2" ht="17.25" x14ac:dyDescent="0.25">
      <c r="B73" s="14" t="s">
        <v>195</v>
      </c>
    </row>
    <row r="74" spans="2:2" x14ac:dyDescent="0.25">
      <c r="B74" s="17"/>
    </row>
    <row r="75" spans="2:2" ht="16.5" x14ac:dyDescent="0.25">
      <c r="B75" s="18" t="s">
        <v>196</v>
      </c>
    </row>
    <row r="76" spans="2:2" ht="16.5" x14ac:dyDescent="0.25">
      <c r="B76" s="18" t="s">
        <v>197</v>
      </c>
    </row>
    <row r="77" spans="2:2" ht="16.5" x14ac:dyDescent="0.25">
      <c r="B77" s="18" t="s">
        <v>198</v>
      </c>
    </row>
    <row r="78" spans="2:2" x14ac:dyDescent="0.25">
      <c r="B78" s="15"/>
    </row>
    <row r="79" spans="2:2" ht="17.25" x14ac:dyDescent="0.25">
      <c r="B79" s="14"/>
    </row>
    <row r="80" spans="2:2" x14ac:dyDescent="0.25">
      <c r="B80" s="15"/>
    </row>
    <row r="81" spans="2:2" ht="17.25" x14ac:dyDescent="0.25">
      <c r="B81" s="14"/>
    </row>
    <row r="82" spans="2:2" x14ac:dyDescent="0.25">
      <c r="B82" s="15"/>
    </row>
    <row r="83" spans="2:2" ht="17.25" x14ac:dyDescent="0.25">
      <c r="B83" s="14"/>
    </row>
  </sheetData>
  <hyperlinks>
    <hyperlink ref="B9" r:id="rId1" tooltip="https://prolaborate.int.srcinc.com/5fOvH" display="https://prolaborate.int.srcinc.com/5fOvH" xr:uid="{D2A97857-6A67-41D1-AD42-EBBEE9100515}"/>
  </hyperlink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vt:i4>
      </vt:variant>
    </vt:vector>
  </HeadingPairs>
  <TitlesOfParts>
    <vt:vector size="12" baseType="lpstr">
      <vt:lpstr>UserRequirements</vt:lpstr>
      <vt:lpstr>ECMRequirements</vt:lpstr>
      <vt:lpstr>Test List Sandbox</vt:lpstr>
      <vt:lpstr>SW Connection Diagram</vt:lpstr>
      <vt:lpstr>rateLimitWithZeroCross</vt:lpstr>
      <vt:lpstr>joyProcessing</vt:lpstr>
      <vt:lpstr>UI_Select</vt:lpstr>
      <vt:lpstr>Polar to Mix</vt:lpstr>
      <vt:lpstr>MotorControl</vt:lpstr>
      <vt:lpstr>takenFromECMConfluence</vt:lpstr>
      <vt:lpstr>ECMRequirements!Print_Area</vt:lpstr>
      <vt:lpstr>UserRequirements!Print_Area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 Smith</dc:creator>
  <cp:lastModifiedBy>Bill Smith</cp:lastModifiedBy>
  <cp:lastPrinted>2024-12-18T01:31:40Z</cp:lastPrinted>
  <dcterms:created xsi:type="dcterms:W3CDTF">2024-02-23T23:50:55Z</dcterms:created>
  <dcterms:modified xsi:type="dcterms:W3CDTF">2025-03-17T23:41:11Z</dcterms:modified>
</cp:coreProperties>
</file>