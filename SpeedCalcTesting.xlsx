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mit\ECM_Arise\wildthing-collaboration\"/>
    </mc:Choice>
  </mc:AlternateContent>
  <xr:revisionPtr revIDLastSave="0" documentId="8_{25E1AC4A-5DA9-4105-9257-2798EC87CBE8}" xr6:coauthVersionLast="47" xr6:coauthVersionMax="47" xr10:uidLastSave="{00000000-0000-0000-0000-000000000000}"/>
  <bookViews>
    <workbookView xWindow="-120" yWindow="-120" windowWidth="29040" windowHeight="15720" activeTab="1" xr2:uid="{46A56A41-FEDE-44BA-9E74-73453B682DC6}"/>
  </bookViews>
  <sheets>
    <sheet name="No Load Rampup" sheetId="1" r:id="rId1"/>
    <sheet name="Loaded at Various %PWM" sheetId="2" r:id="rId2"/>
  </sheets>
  <definedNames>
    <definedName name="Ke">'Loaded at Various %PWM'!$L$2</definedName>
    <definedName name="Ra">'Loaded at Various %PWM'!$L$3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H28" i="2"/>
  <c r="H26" i="2"/>
  <c r="E29" i="2"/>
  <c r="H29" i="2" s="1"/>
  <c r="E27" i="2"/>
  <c r="H27" i="2" s="1"/>
  <c r="E25" i="2"/>
  <c r="G25" i="2" s="1"/>
  <c r="F28" i="2"/>
  <c r="F26" i="2"/>
  <c r="F24" i="2"/>
  <c r="G24" i="2"/>
  <c r="C29" i="2"/>
  <c r="D29" i="2"/>
  <c r="C28" i="2"/>
  <c r="D28" i="2"/>
  <c r="G28" i="2" s="1"/>
  <c r="C27" i="2"/>
  <c r="D27" i="2"/>
  <c r="C26" i="2"/>
  <c r="D26" i="2"/>
  <c r="G26" i="2" s="1"/>
  <c r="C25" i="2"/>
  <c r="D25" i="2"/>
  <c r="C24" i="2"/>
  <c r="D24" i="2"/>
  <c r="D6" i="2"/>
  <c r="G6" i="2" s="1"/>
  <c r="C6" i="2"/>
  <c r="C4" i="2"/>
  <c r="C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F23" i="2"/>
  <c r="D4" i="2"/>
  <c r="G4" i="2" s="1"/>
  <c r="D5" i="2"/>
  <c r="G5" i="2" s="1"/>
  <c r="D13" i="2"/>
  <c r="G13" i="2" s="1"/>
  <c r="D20" i="2"/>
  <c r="G20" i="2" s="1"/>
  <c r="D23" i="2"/>
  <c r="G23" i="2" s="1"/>
  <c r="D7" i="2"/>
  <c r="G7" i="2" s="1"/>
  <c r="D8" i="2"/>
  <c r="G8" i="2" s="1"/>
  <c r="D10" i="2"/>
  <c r="G10" i="2" s="1"/>
  <c r="D11" i="2"/>
  <c r="G11" i="2" s="1"/>
  <c r="D12" i="2"/>
  <c r="G12" i="2" s="1"/>
  <c r="D14" i="2"/>
  <c r="G14" i="2" s="1"/>
  <c r="D17" i="2"/>
  <c r="G17" i="2" s="1"/>
  <c r="D19" i="2"/>
  <c r="G19" i="2" s="1"/>
  <c r="D16" i="2"/>
  <c r="G16" i="2" s="1"/>
  <c r="D18" i="2"/>
  <c r="G18" i="2" s="1"/>
  <c r="D21" i="2"/>
  <c r="G21" i="2" s="1"/>
  <c r="D22" i="2"/>
  <c r="G22" i="2" s="1"/>
  <c r="D9" i="2"/>
  <c r="G9" i="2" s="1"/>
  <c r="D15" i="2"/>
  <c r="G15" i="2" s="1"/>
  <c r="F4" i="2"/>
  <c r="F5" i="2"/>
  <c r="F13" i="2"/>
  <c r="F20" i="2"/>
  <c r="F7" i="2"/>
  <c r="F8" i="2"/>
  <c r="F10" i="2"/>
  <c r="F11" i="2"/>
  <c r="F12" i="2"/>
  <c r="F14" i="2"/>
  <c r="F17" i="2"/>
  <c r="F19" i="2"/>
  <c r="F16" i="2"/>
  <c r="F18" i="2"/>
  <c r="F21" i="2"/>
  <c r="F22" i="2"/>
  <c r="F9" i="2"/>
  <c r="F15" i="2"/>
  <c r="H25" i="2" l="1"/>
  <c r="G29" i="2"/>
  <c r="G27" i="2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</calcChain>
</file>

<file path=xl/sharedStrings.xml><?xml version="1.0" encoding="utf-8"?>
<sst xmlns="http://schemas.openxmlformats.org/spreadsheetml/2006/main" count="15" uniqueCount="13">
  <si>
    <t>Lv</t>
  </si>
  <si>
    <t>LmA</t>
  </si>
  <si>
    <t>SpeedTarget</t>
  </si>
  <si>
    <t>SpeedCalc</t>
  </si>
  <si>
    <t>Lspeed = (Lv - (LmA *( (Lv&gt;=0)? Ra:-Ra) ) ) * Ke;</t>
  </si>
  <si>
    <t>Ke =</t>
  </si>
  <si>
    <t>Ra =</t>
  </si>
  <si>
    <t>M1Speed</t>
  </si>
  <si>
    <t>RPM</t>
  </si>
  <si>
    <t>revs</t>
  </si>
  <si>
    <t>time (sec)</t>
  </si>
  <si>
    <t>RPM Calc</t>
  </si>
  <si>
    <t>motorLSpeed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</si>
</sst>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color rgb="FF4E5B61"/>
      <name val="Arial Unicode MS"/>
    </font>
    <font>
      <sz val="9"/>
      <color rgb="FF4E5B61"/>
      <name val="Consolas"/>
      <family val="3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quotePrefix="1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11"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Load Rampup'!$C$5</c:f>
              <c:strCache>
                <c:ptCount val="1"/>
                <c:pt idx="0">
                  <c:v>SpeedTarget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'No Load Rampup'!$C$6:$C$95</c:f>
              <c:numCache>
                <c:formatCode>General</c:formatCode>
                <c:ptCount val="90"/>
                <c:pt idx="0">
                  <c:v>-34.159999999999997</c:v>
                </c:pt>
                <c:pt idx="1">
                  <c:v>-30.92</c:v>
                </c:pt>
                <c:pt idx="2">
                  <c:v>-27.87</c:v>
                </c:pt>
                <c:pt idx="3">
                  <c:v>-25.17</c:v>
                </c:pt>
                <c:pt idx="4">
                  <c:v>-24.91</c:v>
                </c:pt>
                <c:pt idx="5">
                  <c:v>-24.91</c:v>
                </c:pt>
                <c:pt idx="6">
                  <c:v>-24.3</c:v>
                </c:pt>
                <c:pt idx="7">
                  <c:v>-23.08</c:v>
                </c:pt>
                <c:pt idx="8">
                  <c:v>-20.190000000000001</c:v>
                </c:pt>
                <c:pt idx="9">
                  <c:v>-18.940000000000001</c:v>
                </c:pt>
                <c:pt idx="10">
                  <c:v>-18.649999999999999</c:v>
                </c:pt>
                <c:pt idx="11">
                  <c:v>-18.25</c:v>
                </c:pt>
                <c:pt idx="12">
                  <c:v>-17.510000000000002</c:v>
                </c:pt>
                <c:pt idx="13">
                  <c:v>-16.190000000000001</c:v>
                </c:pt>
                <c:pt idx="14">
                  <c:v>-14.67</c:v>
                </c:pt>
                <c:pt idx="15">
                  <c:v>-13.62</c:v>
                </c:pt>
                <c:pt idx="16">
                  <c:v>-12.65</c:v>
                </c:pt>
                <c:pt idx="17">
                  <c:v>-6.34</c:v>
                </c:pt>
                <c:pt idx="18">
                  <c:v>-5.43</c:v>
                </c:pt>
                <c:pt idx="19">
                  <c:v>-4.53</c:v>
                </c:pt>
                <c:pt idx="20">
                  <c:v>-3.58</c:v>
                </c:pt>
                <c:pt idx="21">
                  <c:v>-2.7</c:v>
                </c:pt>
                <c:pt idx="22">
                  <c:v>-1.8</c:v>
                </c:pt>
                <c:pt idx="23">
                  <c:v>-0.87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1.65</c:v>
                </c:pt>
                <c:pt idx="48">
                  <c:v>3.65</c:v>
                </c:pt>
                <c:pt idx="49">
                  <c:v>5.83</c:v>
                </c:pt>
                <c:pt idx="50">
                  <c:v>7.65</c:v>
                </c:pt>
                <c:pt idx="51">
                  <c:v>9.86</c:v>
                </c:pt>
                <c:pt idx="52">
                  <c:v>11.89</c:v>
                </c:pt>
                <c:pt idx="53">
                  <c:v>14.03</c:v>
                </c:pt>
                <c:pt idx="54">
                  <c:v>16.2</c:v>
                </c:pt>
                <c:pt idx="55">
                  <c:v>18.3</c:v>
                </c:pt>
                <c:pt idx="56">
                  <c:v>20.5</c:v>
                </c:pt>
                <c:pt idx="57">
                  <c:v>21.34</c:v>
                </c:pt>
                <c:pt idx="58">
                  <c:v>21.61</c:v>
                </c:pt>
                <c:pt idx="59">
                  <c:v>21.82</c:v>
                </c:pt>
                <c:pt idx="60">
                  <c:v>22.54</c:v>
                </c:pt>
                <c:pt idx="61">
                  <c:v>23</c:v>
                </c:pt>
                <c:pt idx="62">
                  <c:v>23.36</c:v>
                </c:pt>
                <c:pt idx="63">
                  <c:v>24.83</c:v>
                </c:pt>
                <c:pt idx="64">
                  <c:v>26.59</c:v>
                </c:pt>
                <c:pt idx="65">
                  <c:v>28.81</c:v>
                </c:pt>
                <c:pt idx="66">
                  <c:v>30.86</c:v>
                </c:pt>
                <c:pt idx="67">
                  <c:v>33.159999999999997</c:v>
                </c:pt>
                <c:pt idx="68">
                  <c:v>35.29</c:v>
                </c:pt>
                <c:pt idx="69">
                  <c:v>37.33</c:v>
                </c:pt>
                <c:pt idx="70">
                  <c:v>39.47</c:v>
                </c:pt>
                <c:pt idx="71">
                  <c:v>41.5</c:v>
                </c:pt>
                <c:pt idx="72">
                  <c:v>43.79</c:v>
                </c:pt>
                <c:pt idx="73">
                  <c:v>44.6</c:v>
                </c:pt>
                <c:pt idx="74">
                  <c:v>44.48</c:v>
                </c:pt>
                <c:pt idx="75">
                  <c:v>44.82</c:v>
                </c:pt>
                <c:pt idx="76">
                  <c:v>45.66</c:v>
                </c:pt>
                <c:pt idx="77">
                  <c:v>45.74</c:v>
                </c:pt>
                <c:pt idx="78">
                  <c:v>45.68</c:v>
                </c:pt>
                <c:pt idx="79">
                  <c:v>45.56</c:v>
                </c:pt>
                <c:pt idx="80">
                  <c:v>45.56</c:v>
                </c:pt>
                <c:pt idx="81">
                  <c:v>45.56</c:v>
                </c:pt>
                <c:pt idx="82">
                  <c:v>45.61</c:v>
                </c:pt>
                <c:pt idx="83">
                  <c:v>45.56</c:v>
                </c:pt>
                <c:pt idx="84">
                  <c:v>45.56</c:v>
                </c:pt>
                <c:pt idx="85">
                  <c:v>45.72</c:v>
                </c:pt>
                <c:pt idx="86">
                  <c:v>45.76</c:v>
                </c:pt>
                <c:pt idx="87">
                  <c:v>45.72</c:v>
                </c:pt>
                <c:pt idx="88">
                  <c:v>45.77</c:v>
                </c:pt>
                <c:pt idx="89">
                  <c:v>45.67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1-4BE9-BDDB-84D874DE564C}"/>
            </c:ext>
          </c:extLst>
        </c:ser>
        <c:ser>
          <c:idx val="1"/>
          <c:order val="1"/>
          <c:tx>
            <c:strRef>
              <c:f>'No Load Rampup'!$D$5</c:f>
              <c:strCache>
                <c:ptCount val="1"/>
                <c:pt idx="0">
                  <c:v>SpeedCalc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 Load Rampup'!$D$6:$D$95</c:f>
              <c:numCache>
                <c:formatCode>General</c:formatCode>
                <c:ptCount val="90"/>
                <c:pt idx="0">
                  <c:v>-36.116521920000004</c:v>
                </c:pt>
                <c:pt idx="1">
                  <c:v>-32.659973280000003</c:v>
                </c:pt>
                <c:pt idx="2">
                  <c:v>-29.587705920000001</c:v>
                </c:pt>
                <c:pt idx="3">
                  <c:v>-26.938150560000004</c:v>
                </c:pt>
                <c:pt idx="4">
                  <c:v>-26.711354880000002</c:v>
                </c:pt>
                <c:pt idx="5">
                  <c:v>-26.596153440000002</c:v>
                </c:pt>
                <c:pt idx="6">
                  <c:v>-25.889181120000003</c:v>
                </c:pt>
                <c:pt idx="7">
                  <c:v>-24.569287199999998</c:v>
                </c:pt>
                <c:pt idx="8">
                  <c:v>-21.567409920000003</c:v>
                </c:pt>
                <c:pt idx="9">
                  <c:v>-20.284166880000004</c:v>
                </c:pt>
                <c:pt idx="10">
                  <c:v>-19.980492480000002</c:v>
                </c:pt>
                <c:pt idx="11">
                  <c:v>-19.516222079999999</c:v>
                </c:pt>
                <c:pt idx="12">
                  <c:v>-18.697698720000002</c:v>
                </c:pt>
                <c:pt idx="13">
                  <c:v>-17.380068480000002</c:v>
                </c:pt>
                <c:pt idx="14">
                  <c:v>-15.83644608</c:v>
                </c:pt>
                <c:pt idx="15">
                  <c:v>-14.64781968</c:v>
                </c:pt>
                <c:pt idx="16">
                  <c:v>-13.642754400000001</c:v>
                </c:pt>
                <c:pt idx="17">
                  <c:v>-6.8418734400000005</c:v>
                </c:pt>
                <c:pt idx="18">
                  <c:v>-5.8643611200000008</c:v>
                </c:pt>
                <c:pt idx="19">
                  <c:v>-4.8924000000000003</c:v>
                </c:pt>
                <c:pt idx="20">
                  <c:v>-3.8664000000000005</c:v>
                </c:pt>
                <c:pt idx="21">
                  <c:v>-2.9160000000000004</c:v>
                </c:pt>
                <c:pt idx="22">
                  <c:v>-1.9440000000000002</c:v>
                </c:pt>
                <c:pt idx="23">
                  <c:v>-0.9396000000000001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1.782</c:v>
                </c:pt>
                <c:pt idx="48">
                  <c:v>3.9420000000000002</c:v>
                </c:pt>
                <c:pt idx="49">
                  <c:v>6.2964000000000002</c:v>
                </c:pt>
                <c:pt idx="50">
                  <c:v>8.2537185600000011</c:v>
                </c:pt>
                <c:pt idx="51">
                  <c:v>9.7691011200000002</c:v>
                </c:pt>
                <c:pt idx="52">
                  <c:v>11.607187680000001</c:v>
                </c:pt>
                <c:pt idx="53">
                  <c:v>12.7453392</c:v>
                </c:pt>
                <c:pt idx="54">
                  <c:v>14.763824639999999</c:v>
                </c:pt>
                <c:pt idx="55">
                  <c:v>15.131253600000001</c:v>
                </c:pt>
                <c:pt idx="56">
                  <c:v>17.751692160000001</c:v>
                </c:pt>
                <c:pt idx="57">
                  <c:v>19.095747840000001</c:v>
                </c:pt>
                <c:pt idx="58">
                  <c:v>20.66300064</c:v>
                </c:pt>
                <c:pt idx="59">
                  <c:v>21.003291360000002</c:v>
                </c:pt>
                <c:pt idx="60">
                  <c:v>22.157794079999999</c:v>
                </c:pt>
                <c:pt idx="61">
                  <c:v>22.123882080000001</c:v>
                </c:pt>
                <c:pt idx="62">
                  <c:v>22.888496160000003</c:v>
                </c:pt>
                <c:pt idx="63">
                  <c:v>24.423880320000002</c:v>
                </c:pt>
                <c:pt idx="64">
                  <c:v>25.566209279999999</c:v>
                </c:pt>
                <c:pt idx="65">
                  <c:v>27.065642399999998</c:v>
                </c:pt>
                <c:pt idx="66">
                  <c:v>29.005927200000002</c:v>
                </c:pt>
                <c:pt idx="67">
                  <c:v>31.6199808</c:v>
                </c:pt>
                <c:pt idx="68">
                  <c:v>33.468245279999998</c:v>
                </c:pt>
                <c:pt idx="69">
                  <c:v>35.3790288</c:v>
                </c:pt>
                <c:pt idx="70">
                  <c:v>37.80877392</c:v>
                </c:pt>
                <c:pt idx="71">
                  <c:v>39.963965760000008</c:v>
                </c:pt>
                <c:pt idx="72">
                  <c:v>42.400696320000002</c:v>
                </c:pt>
                <c:pt idx="73">
                  <c:v>42.966050400000007</c:v>
                </c:pt>
                <c:pt idx="74">
                  <c:v>44.501836319999995</c:v>
                </c:pt>
                <c:pt idx="75">
                  <c:v>45.155465280000008</c:v>
                </c:pt>
                <c:pt idx="76">
                  <c:v>45.751469759999999</c:v>
                </c:pt>
                <c:pt idx="77">
                  <c:v>46.325386080000001</c:v>
                </c:pt>
                <c:pt idx="78">
                  <c:v>46.473804000000008</c:v>
                </c:pt>
                <c:pt idx="79">
                  <c:v>46.529311680000006</c:v>
                </c:pt>
                <c:pt idx="80">
                  <c:v>46.671184800000006</c:v>
                </c:pt>
                <c:pt idx="81">
                  <c:v>46.65419424000001</c:v>
                </c:pt>
                <c:pt idx="82">
                  <c:v>46.683466559999999</c:v>
                </c:pt>
                <c:pt idx="83">
                  <c:v>46.780009920000005</c:v>
                </c:pt>
                <c:pt idx="84">
                  <c:v>46.678533120000012</c:v>
                </c:pt>
                <c:pt idx="85">
                  <c:v>47.024426880000007</c:v>
                </c:pt>
                <c:pt idx="86">
                  <c:v>47.238232320000002</c:v>
                </c:pt>
                <c:pt idx="87">
                  <c:v>47.148959520000005</c:v>
                </c:pt>
                <c:pt idx="88">
                  <c:v>46.987369920000006</c:v>
                </c:pt>
                <c:pt idx="89">
                  <c:v>46.783802880000003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1-4BE9-BDDB-84D874DE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588751"/>
        <c:axId val="887693615"/>
      </c:lineChart>
      <c:catAx>
        <c:axId val="87358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93615"/>
        <c:crosses val="autoZero"/>
        <c:auto val="1"/>
        <c:lblAlgn val="ctr"/>
        <c:lblOffset val="100"/>
        <c:noMultiLvlLbl val="0"/>
      </c:catAx>
      <c:valAx>
        <c:axId val="88769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8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  = 36.9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'Loaded at Various %PWM'!$F$3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'Loaded at Various %PWM'!$E$5:$E$12</c:f>
              <c:numCache>
                <c:formatCode>General</c:formatCode>
                <c:ptCount val="8"/>
                <c:pt idx="0">
                  <c:v>510</c:v>
                </c:pt>
                <c:pt idx="1">
                  <c:v>5</c:v>
                </c:pt>
                <c:pt idx="2">
                  <c:v>950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3250</c:v>
                </c:pt>
                <c:pt idx="7">
                  <c:v>5000</c:v>
                </c:pt>
              </c:numCache>
            </c:numRef>
          </c:xVal>
          <c:yVal>
            <c:numRef>
              <c:f>'Loaded at Various %PWM'!$F$5:$F$12</c:f>
              <c:numCache>
                <c:formatCode>0.0</c:formatCode>
                <c:ptCount val="8"/>
                <c:pt idx="0">
                  <c:v>37.5</c:v>
                </c:pt>
                <c:pt idx="1">
                  <c:v>40</c:v>
                </c:pt>
                <c:pt idx="2">
                  <c:v>31.578947368421051</c:v>
                </c:pt>
                <c:pt idx="3">
                  <c:v>30</c:v>
                </c:pt>
                <c:pt idx="4">
                  <c:v>29.556650246305416</c:v>
                </c:pt>
                <c:pt idx="5">
                  <c:v>27.272727272727273</c:v>
                </c:pt>
                <c:pt idx="6">
                  <c:v>25</c:v>
                </c:pt>
                <c:pt idx="7">
                  <c:v>21.428571428571427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5-41E6-8F79-1126603C127C}"/>
            </c:ext>
          </c:extLst>
        </c:ser>
        <c:ser>
          <c:idx val="1"/>
          <c:order val="1"/>
          <c:tx>
            <c:strRef>
              <c:f>'Loaded at Various %PWM'!$G$3</c:f>
              <c:strCache>
                <c:ptCount val="1"/>
                <c:pt idx="0">
                  <c:v>RPM Calc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'Loaded at Various %PWM'!$E$5:$E$12</c:f>
              <c:numCache>
                <c:formatCode>General</c:formatCode>
                <c:ptCount val="8"/>
                <c:pt idx="0">
                  <c:v>510</c:v>
                </c:pt>
                <c:pt idx="1">
                  <c:v>5</c:v>
                </c:pt>
                <c:pt idx="2">
                  <c:v>950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3250</c:v>
                </c:pt>
                <c:pt idx="7">
                  <c:v>5000</c:v>
                </c:pt>
              </c:numCache>
            </c:numRef>
          </c:xVal>
          <c:yVal>
            <c:numRef>
              <c:f>'Loaded at Various %PWM'!$G$5:$G$12</c:f>
              <c:numCache>
                <c:formatCode>General</c:formatCode>
                <c:ptCount val="8"/>
                <c:pt idx="0">
                  <c:v>37.869120000000002</c:v>
                </c:pt>
                <c:pt idx="1">
                  <c:v>39.832560000000001</c:v>
                </c:pt>
                <c:pt idx="2">
                  <c:v>36.1584</c:v>
                </c:pt>
                <c:pt idx="3">
                  <c:v>33.048000000000002</c:v>
                </c:pt>
                <c:pt idx="4">
                  <c:v>32.076000000000001</c:v>
                </c:pt>
                <c:pt idx="5">
                  <c:v>31.103999999999999</c:v>
                </c:pt>
                <c:pt idx="6">
                  <c:v>27.216000000000001</c:v>
                </c:pt>
                <c:pt idx="7">
                  <c:v>20.411999999999999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5-41E6-8F79-1126603C1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522031"/>
        <c:axId val="930465376"/>
      </c:scatterChart>
      <c:valAx>
        <c:axId val="110352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 (Current 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65376"/>
        <c:crosses val="autoZero"/>
        <c:crossBetween val="midCat"/>
      </c:valAx>
      <c:valAx>
        <c:axId val="9304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52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 = 73.5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'Loaded at Various %PWM'!$E$13:$E$19</c:f>
              <c:numCache>
                <c:formatCode>General</c:formatCode>
                <c:ptCount val="7"/>
                <c:pt idx="0">
                  <c:v>740</c:v>
                </c:pt>
                <c:pt idx="1">
                  <c:v>3150</c:v>
                </c:pt>
                <c:pt idx="2">
                  <c:v>3500</c:v>
                </c:pt>
                <c:pt idx="3">
                  <c:v>3800</c:v>
                </c:pt>
                <c:pt idx="4">
                  <c:v>4000</c:v>
                </c:pt>
                <c:pt idx="5">
                  <c:v>4900</c:v>
                </c:pt>
                <c:pt idx="6">
                  <c:v>5300</c:v>
                </c:pt>
              </c:numCache>
            </c:numRef>
          </c:xVal>
          <c:yVal>
            <c:numRef>
              <c:f>'Loaded at Various %PWM'!$F$13:$F$19</c:f>
              <c:numCache>
                <c:formatCode>0.0</c:formatCode>
                <c:ptCount val="7"/>
                <c:pt idx="0">
                  <c:v>75</c:v>
                </c:pt>
                <c:pt idx="1">
                  <c:v>65.934065934065941</c:v>
                </c:pt>
                <c:pt idx="2">
                  <c:v>64.516129032258064</c:v>
                </c:pt>
                <c:pt idx="3">
                  <c:v>63.157894736842103</c:v>
                </c:pt>
                <c:pt idx="4">
                  <c:v>63.829787234042549</c:v>
                </c:pt>
                <c:pt idx="5">
                  <c:v>58.82352941176471</c:v>
                </c:pt>
                <c:pt idx="6">
                  <c:v>55.55555555555555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5-49D7-9B32-5478345F54B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'Loaded at Various %PWM'!$E$13:$E$19</c:f>
              <c:numCache>
                <c:formatCode>General</c:formatCode>
                <c:ptCount val="7"/>
                <c:pt idx="0">
                  <c:v>740</c:v>
                </c:pt>
                <c:pt idx="1">
                  <c:v>3150</c:v>
                </c:pt>
                <c:pt idx="2">
                  <c:v>3500</c:v>
                </c:pt>
                <c:pt idx="3">
                  <c:v>3800</c:v>
                </c:pt>
                <c:pt idx="4">
                  <c:v>4000</c:v>
                </c:pt>
                <c:pt idx="5">
                  <c:v>4900</c:v>
                </c:pt>
                <c:pt idx="6">
                  <c:v>5300</c:v>
                </c:pt>
              </c:numCache>
            </c:numRef>
          </c:xVal>
          <c:yVal>
            <c:numRef>
              <c:f>'Loaded at Various %PWM'!$G$13:$G$19</c:f>
              <c:numCache>
                <c:formatCode>General</c:formatCode>
                <c:ptCount val="7"/>
                <c:pt idx="0">
                  <c:v>76.502880000000005</c:v>
                </c:pt>
                <c:pt idx="1">
                  <c:v>67.132800000000003</c:v>
                </c:pt>
                <c:pt idx="2">
                  <c:v>65.772000000000006</c:v>
                </c:pt>
                <c:pt idx="3">
                  <c:v>64.60560000000001</c:v>
                </c:pt>
                <c:pt idx="4">
                  <c:v>63.828000000000003</c:v>
                </c:pt>
                <c:pt idx="5">
                  <c:v>60.328800000000001</c:v>
                </c:pt>
                <c:pt idx="6">
                  <c:v>58.773600000000009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5-49D7-9B32-5478345F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523471"/>
        <c:axId val="1137439775"/>
      </c:scatterChart>
      <c:valAx>
        <c:axId val="110352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 (Current 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39775"/>
        <c:crosses val="autoZero"/>
        <c:crossBetween val="midCat"/>
      </c:valAx>
      <c:valAx>
        <c:axId val="113743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523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</a:t>
            </a:r>
            <a:r>
              <a:rPr lang="en-US" baseline="0"/>
              <a:t> </a:t>
            </a:r>
            <a:r>
              <a:rPr lang="en-US"/>
              <a:t>= 91.5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'Loaded at Various %PWM'!$E$20:$E$22</c:f>
              <c:numCache>
                <c:formatCode>General</c:formatCode>
                <c:ptCount val="3"/>
                <c:pt idx="0">
                  <c:v>810</c:v>
                </c:pt>
                <c:pt idx="1">
                  <c:v>4500</c:v>
                </c:pt>
                <c:pt idx="2">
                  <c:v>6300</c:v>
                </c:pt>
              </c:numCache>
            </c:numRef>
          </c:xVal>
          <c:yVal>
            <c:numRef>
              <c:f>'Loaded at Various %PWM'!$F$20:$F$22</c:f>
              <c:numCache>
                <c:formatCode>0.0</c:formatCode>
                <c:ptCount val="3"/>
                <c:pt idx="0">
                  <c:v>100</c:v>
                </c:pt>
                <c:pt idx="1">
                  <c:v>78.94736842105263</c:v>
                </c:pt>
                <c:pt idx="2">
                  <c:v>75.949367088607588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6-451B-BFB1-3669D60729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'Loaded at Various %PWM'!$E$20:$E$22</c:f>
              <c:numCache>
                <c:formatCode>General</c:formatCode>
                <c:ptCount val="3"/>
                <c:pt idx="0">
                  <c:v>810</c:v>
                </c:pt>
                <c:pt idx="1">
                  <c:v>4500</c:v>
                </c:pt>
                <c:pt idx="2">
                  <c:v>6300</c:v>
                </c:pt>
              </c:numCache>
            </c:numRef>
          </c:xVal>
          <c:yVal>
            <c:numRef>
              <c:f>'Loaded at Various %PWM'!$G$20:$G$22</c:f>
              <c:numCache>
                <c:formatCode>General</c:formatCode>
                <c:ptCount val="3"/>
                <c:pt idx="0">
                  <c:v>95.670720000000003</c:v>
                </c:pt>
                <c:pt idx="1">
                  <c:v>81.323999999999998</c:v>
                </c:pt>
                <c:pt idx="2">
                  <c:v>74.325599999999994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6-451B-BFB1-3669D607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504751"/>
        <c:axId val="1051632271"/>
      </c:scatterChart>
      <c:valAx>
        <c:axId val="110350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Lma (Current 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32271"/>
        <c:crosses val="autoZero"/>
        <c:crossBetween val="midCat"/>
      </c:valAx>
      <c:valAx>
        <c:axId val="10516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50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ALL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Lv=36.9 Act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'Loaded at Various %PWM'!$E$5:$E$12</c:f>
              <c:numCache>
                <c:formatCode>General</c:formatCode>
                <c:ptCount val="8"/>
                <c:pt idx="0">
                  <c:v>510</c:v>
                </c:pt>
                <c:pt idx="1">
                  <c:v>5</c:v>
                </c:pt>
                <c:pt idx="2">
                  <c:v>950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3250</c:v>
                </c:pt>
                <c:pt idx="7">
                  <c:v>5000</c:v>
                </c:pt>
              </c:numCache>
            </c:numRef>
          </c:xVal>
          <c:yVal>
            <c:numRef>
              <c:f>'Loaded at Various %PWM'!$F$5:$F$12</c:f>
              <c:numCache>
                <c:formatCode>0.0</c:formatCode>
                <c:ptCount val="8"/>
                <c:pt idx="0">
                  <c:v>37.5</c:v>
                </c:pt>
                <c:pt idx="1">
                  <c:v>40</c:v>
                </c:pt>
                <c:pt idx="2">
                  <c:v>31.578947368421051</c:v>
                </c:pt>
                <c:pt idx="3">
                  <c:v>30</c:v>
                </c:pt>
                <c:pt idx="4">
                  <c:v>29.556650246305416</c:v>
                </c:pt>
                <c:pt idx="5">
                  <c:v>27.272727272727273</c:v>
                </c:pt>
                <c:pt idx="6">
                  <c:v>25</c:v>
                </c:pt>
                <c:pt idx="7">
                  <c:v>21.428571428571427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46-41FB-A6B6-02699DF9C1D9}"/>
            </c:ext>
          </c:extLst>
        </c:ser>
        <c:ser>
          <c:idx val="3"/>
          <c:order val="1"/>
          <c:tx>
            <c:v>Lv=36.9 Calc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'Loaded at Various %PWM'!$E$5:$E$12</c:f>
              <c:numCache>
                <c:formatCode>General</c:formatCode>
                <c:ptCount val="8"/>
                <c:pt idx="0">
                  <c:v>510</c:v>
                </c:pt>
                <c:pt idx="1">
                  <c:v>5</c:v>
                </c:pt>
                <c:pt idx="2">
                  <c:v>950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3250</c:v>
                </c:pt>
                <c:pt idx="7">
                  <c:v>5000</c:v>
                </c:pt>
              </c:numCache>
            </c:numRef>
          </c:xVal>
          <c:yVal>
            <c:numRef>
              <c:f>'Loaded at Various %PWM'!$G$5:$G$12</c:f>
              <c:numCache>
                <c:formatCode>General</c:formatCode>
                <c:ptCount val="8"/>
                <c:pt idx="0">
                  <c:v>37.869120000000002</c:v>
                </c:pt>
                <c:pt idx="1">
                  <c:v>39.832560000000001</c:v>
                </c:pt>
                <c:pt idx="2">
                  <c:v>36.1584</c:v>
                </c:pt>
                <c:pt idx="3">
                  <c:v>33.048000000000002</c:v>
                </c:pt>
                <c:pt idx="4">
                  <c:v>32.076000000000001</c:v>
                </c:pt>
                <c:pt idx="5">
                  <c:v>31.103999999999999</c:v>
                </c:pt>
                <c:pt idx="6">
                  <c:v>27.216000000000001</c:v>
                </c:pt>
                <c:pt idx="7">
                  <c:v>20.411999999999999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46-41FB-A6B6-02699DF9C1D9}"/>
            </c:ext>
          </c:extLst>
        </c:ser>
        <c:ser>
          <c:idx val="4"/>
          <c:order val="2"/>
          <c:tx>
            <c:v>LV=73.5 Act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'Loaded at Various %PWM'!$E$13:$E$19</c:f>
              <c:numCache>
                <c:formatCode>General</c:formatCode>
                <c:ptCount val="7"/>
                <c:pt idx="0">
                  <c:v>740</c:v>
                </c:pt>
                <c:pt idx="1">
                  <c:v>3150</c:v>
                </c:pt>
                <c:pt idx="2">
                  <c:v>3500</c:v>
                </c:pt>
                <c:pt idx="3">
                  <c:v>3800</c:v>
                </c:pt>
                <c:pt idx="4">
                  <c:v>4000</c:v>
                </c:pt>
                <c:pt idx="5">
                  <c:v>4900</c:v>
                </c:pt>
                <c:pt idx="6">
                  <c:v>5300</c:v>
                </c:pt>
              </c:numCache>
            </c:numRef>
          </c:xVal>
          <c:yVal>
            <c:numRef>
              <c:f>'Loaded at Various %PWM'!$F$13:$F$19</c:f>
              <c:numCache>
                <c:formatCode>0.0</c:formatCode>
                <c:ptCount val="7"/>
                <c:pt idx="0">
                  <c:v>75</c:v>
                </c:pt>
                <c:pt idx="1">
                  <c:v>65.934065934065941</c:v>
                </c:pt>
                <c:pt idx="2">
                  <c:v>64.516129032258064</c:v>
                </c:pt>
                <c:pt idx="3">
                  <c:v>63.157894736842103</c:v>
                </c:pt>
                <c:pt idx="4">
                  <c:v>63.829787234042549</c:v>
                </c:pt>
                <c:pt idx="5">
                  <c:v>58.82352941176471</c:v>
                </c:pt>
                <c:pt idx="6">
                  <c:v>55.55555555555555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46-41FB-A6B6-02699DF9C1D9}"/>
            </c:ext>
          </c:extLst>
        </c:ser>
        <c:ser>
          <c:idx val="5"/>
          <c:order val="3"/>
          <c:tx>
            <c:v>Lv=73.5 Calc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'Loaded at Various %PWM'!$E$13:$E$19</c:f>
              <c:numCache>
                <c:formatCode>General</c:formatCode>
                <c:ptCount val="7"/>
                <c:pt idx="0">
                  <c:v>740</c:v>
                </c:pt>
                <c:pt idx="1">
                  <c:v>3150</c:v>
                </c:pt>
                <c:pt idx="2">
                  <c:v>3500</c:v>
                </c:pt>
                <c:pt idx="3">
                  <c:v>3800</c:v>
                </c:pt>
                <c:pt idx="4">
                  <c:v>4000</c:v>
                </c:pt>
                <c:pt idx="5">
                  <c:v>4900</c:v>
                </c:pt>
                <c:pt idx="6">
                  <c:v>5300</c:v>
                </c:pt>
              </c:numCache>
            </c:numRef>
          </c:xVal>
          <c:yVal>
            <c:numRef>
              <c:f>'Loaded at Various %PWM'!$G$13:$G$19</c:f>
              <c:numCache>
                <c:formatCode>General</c:formatCode>
                <c:ptCount val="7"/>
                <c:pt idx="0">
                  <c:v>76.502880000000005</c:v>
                </c:pt>
                <c:pt idx="1">
                  <c:v>67.132800000000003</c:v>
                </c:pt>
                <c:pt idx="2">
                  <c:v>65.772000000000006</c:v>
                </c:pt>
                <c:pt idx="3">
                  <c:v>64.60560000000001</c:v>
                </c:pt>
                <c:pt idx="4">
                  <c:v>63.828000000000003</c:v>
                </c:pt>
                <c:pt idx="5">
                  <c:v>60.328800000000001</c:v>
                </c:pt>
                <c:pt idx="6">
                  <c:v>58.773600000000009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46-41FB-A6B6-02699DF9C1D9}"/>
            </c:ext>
          </c:extLst>
        </c:ser>
        <c:ser>
          <c:idx val="0"/>
          <c:order val="4"/>
          <c:tx>
            <c:v>LV=91.5 Act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'Loaded at Various %PWM'!$E$20:$E$22</c:f>
              <c:numCache>
                <c:formatCode>General</c:formatCode>
                <c:ptCount val="3"/>
                <c:pt idx="0">
                  <c:v>810</c:v>
                </c:pt>
                <c:pt idx="1">
                  <c:v>4500</c:v>
                </c:pt>
                <c:pt idx="2">
                  <c:v>6300</c:v>
                </c:pt>
              </c:numCache>
            </c:numRef>
          </c:xVal>
          <c:yVal>
            <c:numRef>
              <c:f>'Loaded at Various %PWM'!$F$20:$F$22</c:f>
              <c:numCache>
                <c:formatCode>0.0</c:formatCode>
                <c:ptCount val="3"/>
                <c:pt idx="0">
                  <c:v>100</c:v>
                </c:pt>
                <c:pt idx="1">
                  <c:v>78.94736842105263</c:v>
                </c:pt>
                <c:pt idx="2">
                  <c:v>75.949367088607588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6-41FB-A6B6-02699DF9C1D9}"/>
            </c:ext>
          </c:extLst>
        </c:ser>
        <c:ser>
          <c:idx val="1"/>
          <c:order val="5"/>
          <c:tx>
            <c:v>LV=91.5 Calc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'Loaded at Various %PWM'!$E$20:$E$22</c:f>
              <c:numCache>
                <c:formatCode>General</c:formatCode>
                <c:ptCount val="3"/>
                <c:pt idx="0">
                  <c:v>810</c:v>
                </c:pt>
                <c:pt idx="1">
                  <c:v>4500</c:v>
                </c:pt>
                <c:pt idx="2">
                  <c:v>6300</c:v>
                </c:pt>
              </c:numCache>
            </c:numRef>
          </c:xVal>
          <c:yVal>
            <c:numRef>
              <c:f>'Loaded at Various %PWM'!$G$20:$G$22</c:f>
              <c:numCache>
                <c:formatCode>General</c:formatCode>
                <c:ptCount val="3"/>
                <c:pt idx="0">
                  <c:v>95.670720000000003</c:v>
                </c:pt>
                <c:pt idx="1">
                  <c:v>81.323999999999998</c:v>
                </c:pt>
                <c:pt idx="2">
                  <c:v>74.325599999999994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6-41FB-A6B6-02699DF9C1D9}"/>
            </c:ext>
          </c:extLst>
        </c:ser>
        <c:ser>
          <c:idx val="6"/>
          <c:order val="6"/>
          <c:tx>
            <c:v>123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'Loaded at Various %PWM'!$E$24:$E$25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'Loaded at Various %PWM'!$F$24:$F$25</c:f>
              <c:numCache>
                <c:formatCode>0.0</c:formatCode>
                <c:ptCount val="2"/>
                <c:pt idx="0">
                  <c:v>123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46-41FB-A6B6-02699DF9C1D9}"/>
            </c:ext>
          </c:extLst>
        </c:ser>
        <c:ser>
          <c:idx val="7"/>
          <c:order val="7"/>
          <c:tx>
            <c:v>245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'Loaded at Various %PWM'!$E$26:$E$27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'Loaded at Various %PWM'!$F$26:$F$27</c:f>
              <c:numCache>
                <c:formatCode>0.0</c:formatCode>
                <c:ptCount val="2"/>
                <c:pt idx="0">
                  <c:v>245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46-41FB-A6B6-02699DF9C1D9}"/>
            </c:ext>
          </c:extLst>
        </c:ser>
        <c:ser>
          <c:idx val="8"/>
          <c:order val="8"/>
          <c:tx>
            <c:v>305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'Loaded at Various %PWM'!$E$28:$E$29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'Loaded at Various %PWM'!$F$28:$F$29</c:f>
              <c:numCache>
                <c:formatCode>0.0</c:formatCode>
                <c:ptCount val="2"/>
                <c:pt idx="0">
                  <c:v>305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46-41FB-A6B6-02699DF9C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504751"/>
        <c:axId val="1051632271"/>
      </c:scatterChart>
      <c:valAx>
        <c:axId val="110350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Lma (Current 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32271"/>
        <c:crosses val="autoZero"/>
        <c:crossBetween val="midCat"/>
      </c:valAx>
      <c:valAx>
        <c:axId val="1051632271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50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4</xdr:row>
      <xdr:rowOff>4762</xdr:rowOff>
    </xdr:from>
    <xdr:to>
      <xdr:col>13</xdr:col>
      <xdr:colOff>447675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A7C9D-5E9C-A1E2-24BE-EFC357D40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31</xdr:row>
      <xdr:rowOff>14287</xdr:rowOff>
    </xdr:from>
    <xdr:to>
      <xdr:col>6</xdr:col>
      <xdr:colOff>233362</xdr:colOff>
      <xdr:row>45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C1DB86-8656-5960-DBC3-E8AF39E5D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366712</xdr:colOff>
      <xdr:row>31</xdr:row>
      <xdr:rowOff>23812</xdr:rowOff>
    </xdr:from>
    <xdr:to>
      <xdr:col>13</xdr:col>
      <xdr:colOff>242887</xdr:colOff>
      <xdr:row>45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8F8ED9-E6F1-9026-3B09-6ACF5F7FE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414337</xdr:colOff>
      <xdr:row>30</xdr:row>
      <xdr:rowOff>147637</xdr:rowOff>
    </xdr:from>
    <xdr:to>
      <xdr:col>21</xdr:col>
      <xdr:colOff>109537</xdr:colOff>
      <xdr:row>45</xdr:row>
      <xdr:rowOff>33337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1F0773-E61E-964C-2D65-18C0A69D5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</xdr:row>
      <xdr:rowOff>19050</xdr:rowOff>
    </xdr:from>
    <xdr:to>
      <xdr:col>23</xdr:col>
      <xdr:colOff>438149</xdr:colOff>
      <xdr:row>30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522BF-6EB1-42E7-A319-7A6CDC278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C4B15-62DE-44C6-B709-F7CD5FE8DDFA}" name="Table1" displayName="Table1" ref="A5:D95" totalsRowShown="0">
  <autoFilter ref="A5:D95" xr:uid="{193C4B15-62DE-44C6-B709-F7CD5FE8DDFA}"/>
  <tableColumns count="4">
    <tableColumn id="1" xr3:uid="{F94A80EE-AFAF-4508-9DCC-17B270B5BB96}" name="Lv"/>
    <tableColumn id="2" xr3:uid="{DB6E06B4-61E0-4918-AB86-53D10DAB9258}" name="LmA"/>
    <tableColumn id="3" xr3:uid="{2C9AF2A0-266C-4853-A5E5-0145481C7991}" name="SpeedTarget"/>
    <tableColumn id="4" xr3:uid="{89F4E5E5-6688-4505-9B50-8C510CE9FD0D}" name="SpeedCalc" dataDxfId="10">
      <calculatedColumnFormula>(Table1[[#This Row],[Lv]]-(Table1[[#This Row],[LmA]]*Ra*IF(Table1[[#This Row],[Lv]]&gt;=0,1,-1) ) )*Ke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09AB07-112B-4847-93E1-E5F48F69B2C0}" name="Table2" displayName="Table2" ref="B3:I29" totalsRowShown="0" headerRowDxfId="9" dataDxfId="8">
  <autoFilter ref="B3:I29" xr:uid="{AA09AB07-112B-4847-93E1-E5F48F69B2C0}"/>
  <sortState xmlns:xlrd2="http://schemas.microsoft.com/office/spreadsheetml/2017/richdata2" ref="B4:I23">
    <sortCondition ref="D3:D23"/>
  </sortState>
  <tableColumns count="8">
    <tableColumn id="1" xr3:uid="{A83681D7-6E1E-4114-945E-9B3E579244C7}" name="M1Speed" dataDxfId="2"/>
    <tableColumn id="8" xr3:uid="{C76806CC-7249-4672-92A3-17268444EADD}" name="motorLSpeed" dataDxfId="0">
      <calculatedColumnFormula>Table2[[#This Row],[M1Speed]]/400</calculatedColumnFormula>
    </tableColumn>
    <tableColumn id="7" xr3:uid="{5A7D2056-E251-44E6-9DBD-DAACABD011E8}" name="Lv" dataDxfId="1">
      <calculatedColumnFormula>120*Table2[[#This Row],[M1Speed]]/400</calculatedColumnFormula>
    </tableColumn>
    <tableColumn id="2" xr3:uid="{498648E6-29AE-4632-A966-74D07990BB36}" name="LmA" dataDxfId="7"/>
    <tableColumn id="4" xr3:uid="{434DAE70-8818-42DA-A380-759C960A6424}" name="RPM" dataDxfId="6">
      <calculatedColumnFormula>IFERROR(60*Table2[[#This Row],[revs]]/Table2[[#This Row],[time (sec)]],"-")</calculatedColumnFormula>
    </tableColumn>
    <tableColumn id="6" xr3:uid="{C59500B4-E9FA-4EC9-A633-143123E5A835}" name="RPM Calc" dataDxfId="5">
      <calculatedColumnFormula>(Table2[[#This Row],[Lv]]-(Table2[[#This Row],[LmA]]*Ra*IF(Table2[[#This Row],[Lv]]&gt;=0,1,-1) ) )*Ke</calculatedColumnFormula>
    </tableColumn>
    <tableColumn id="5" xr3:uid="{95ABAC2A-C1BF-4A1B-B01E-10FCB1CF29CD}" name="revs" dataDxfId="4"/>
    <tableColumn id="3" xr3:uid="{5FC5C1CE-6583-4D29-A505-38726DC47AAB}" name="time (sec)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D46E-CCB3-4529-9C4C-73C8DA9C93EA}">
  <dimension ref="A5:D95"/>
  <sheetViews>
    <sheetView workbookViewId="0">
      <selection activeCell="D6" sqref="D6"/>
    </sheetView>
  </sheetViews>
  <sheetFormatPr defaultRowHeight="15"/>
  <cols>
    <col min="3" max="4" width="14.42578125" customWidth="1"/>
  </cols>
  <sheetData>
    <row r="5" spans="1:4">
      <c r="A5" s="1" t="s">
        <v>0</v>
      </c>
      <c r="B5" t="s">
        <v>1</v>
      </c>
      <c r="C5" t="s">
        <v>2</v>
      </c>
      <c r="D5" t="s">
        <v>3</v>
      </c>
    </row>
    <row r="6" spans="1:4">
      <c r="A6">
        <v>-34.159999999999997</v>
      </c>
      <c r="B6">
        <v>199.66</v>
      </c>
      <c r="C6">
        <v>-34.159999999999997</v>
      </c>
      <c r="D6">
        <f>(Table1[[#This Row],[Lv]]-(Table1[[#This Row],[LmA]]*Ra*IF(Table1[[#This Row],[Lv]]&gt;=0,1,-1) ) )*Ke</f>
        <v>-36.116521920000004</v>
      </c>
    </row>
    <row r="7" spans="1:4">
      <c r="A7">
        <v>-30.92</v>
      </c>
      <c r="B7">
        <v>188.69</v>
      </c>
      <c r="C7">
        <v>-30.92</v>
      </c>
      <c r="D7">
        <f>(Table1[[#This Row],[Lv]]-(Table1[[#This Row],[LmA]]*Ra*IF(Table1[[#This Row],[Lv]]&gt;=0,1,-1) ) )*Ke</f>
        <v>-32.659973280000003</v>
      </c>
    </row>
    <row r="8" spans="1:4">
      <c r="A8">
        <v>-27.87</v>
      </c>
      <c r="B8">
        <v>131.66</v>
      </c>
      <c r="C8">
        <v>-27.87</v>
      </c>
      <c r="D8">
        <f>(Table1[[#This Row],[Lv]]-(Table1[[#This Row],[LmA]]*Ra*IF(Table1[[#This Row],[Lv]]&gt;=0,1,-1) ) )*Ke</f>
        <v>-29.587705920000001</v>
      </c>
    </row>
    <row r="9" spans="1:4">
      <c r="A9">
        <v>-25.17</v>
      </c>
      <c r="B9">
        <v>63.13</v>
      </c>
      <c r="C9">
        <v>-25.17</v>
      </c>
      <c r="D9">
        <f>(Table1[[#This Row],[Lv]]-(Table1[[#This Row],[LmA]]*Ra*IF(Table1[[#This Row],[Lv]]&gt;=0,1,-1) ) )*Ke</f>
        <v>-26.938150560000004</v>
      </c>
    </row>
    <row r="10" spans="1:4">
      <c r="A10">
        <v>-24.91</v>
      </c>
      <c r="B10">
        <v>49.24</v>
      </c>
      <c r="C10">
        <v>-24.91</v>
      </c>
      <c r="D10">
        <f>(Table1[[#This Row],[Lv]]-(Table1[[#This Row],[LmA]]*Ra*IF(Table1[[#This Row],[Lv]]&gt;=0,1,-1) ) )*Ke</f>
        <v>-26.711354880000002</v>
      </c>
    </row>
    <row r="11" spans="1:4">
      <c r="A11">
        <v>-24.91</v>
      </c>
      <c r="B11">
        <v>78.87</v>
      </c>
      <c r="C11">
        <v>-24.91</v>
      </c>
      <c r="D11">
        <f>(Table1[[#This Row],[Lv]]-(Table1[[#This Row],[LmA]]*Ra*IF(Table1[[#This Row],[Lv]]&gt;=0,1,-1) ) )*Ke</f>
        <v>-26.596153440000002</v>
      </c>
    </row>
    <row r="12" spans="1:4">
      <c r="A12">
        <v>-24.3</v>
      </c>
      <c r="B12">
        <v>91.26</v>
      </c>
      <c r="C12">
        <v>-24.3</v>
      </c>
      <c r="D12">
        <f>(Table1[[#This Row],[Lv]]-(Table1[[#This Row],[LmA]]*Ra*IF(Table1[[#This Row],[Lv]]&gt;=0,1,-1) ) )*Ke</f>
        <v>-25.889181120000003</v>
      </c>
    </row>
    <row r="13" spans="1:4">
      <c r="A13">
        <v>-23.08</v>
      </c>
      <c r="B13">
        <v>91.85</v>
      </c>
      <c r="C13">
        <v>-23.08</v>
      </c>
      <c r="D13">
        <f>(Table1[[#This Row],[Lv]]-(Table1[[#This Row],[LmA]]*Ra*IF(Table1[[#This Row],[Lv]]&gt;=0,1,-1) ) )*Ke</f>
        <v>-24.569287199999998</v>
      </c>
    </row>
    <row r="14" spans="1:4">
      <c r="A14">
        <v>-20.190000000000001</v>
      </c>
      <c r="B14">
        <v>61.16</v>
      </c>
      <c r="C14">
        <v>-20.190000000000001</v>
      </c>
      <c r="D14">
        <f>(Table1[[#This Row],[Lv]]-(Table1[[#This Row],[LmA]]*Ra*IF(Table1[[#This Row],[Lv]]&gt;=0,1,-1) ) )*Ke</f>
        <v>-21.567409920000003</v>
      </c>
    </row>
    <row r="15" spans="1:4">
      <c r="A15">
        <v>-18.940000000000001</v>
      </c>
      <c r="B15">
        <v>43.99</v>
      </c>
      <c r="C15">
        <v>-18.940000000000001</v>
      </c>
      <c r="D15">
        <f>(Table1[[#This Row],[Lv]]-(Table1[[#This Row],[LmA]]*Ra*IF(Table1[[#This Row],[Lv]]&gt;=0,1,-1) ) )*Ke</f>
        <v>-20.284166880000004</v>
      </c>
    </row>
    <row r="16" spans="1:4">
      <c r="A16">
        <v>-18.649999999999999</v>
      </c>
      <c r="B16">
        <v>41.54</v>
      </c>
      <c r="C16">
        <v>-18.649999999999999</v>
      </c>
      <c r="D16">
        <f>(Table1[[#This Row],[Lv]]-(Table1[[#This Row],[LmA]]*Ra*IF(Table1[[#This Row],[Lv]]&gt;=0,1,-1) ) )*Ke</f>
        <v>-19.980492480000002</v>
      </c>
    </row>
    <row r="17" spans="1:4">
      <c r="A17">
        <v>-18.25</v>
      </c>
      <c r="B17">
        <v>49.84</v>
      </c>
      <c r="C17">
        <v>-18.25</v>
      </c>
      <c r="D17">
        <f>(Table1[[#This Row],[Lv]]-(Table1[[#This Row],[LmA]]*Ra*IF(Table1[[#This Row],[Lv]]&gt;=0,1,-1) ) )*Ke</f>
        <v>-19.516222079999999</v>
      </c>
    </row>
    <row r="18" spans="1:4">
      <c r="A18">
        <v>-17.510000000000002</v>
      </c>
      <c r="B18">
        <v>54.81</v>
      </c>
      <c r="C18">
        <v>-17.510000000000002</v>
      </c>
      <c r="D18">
        <f>(Table1[[#This Row],[Lv]]-(Table1[[#This Row],[LmA]]*Ra*IF(Table1[[#This Row],[Lv]]&gt;=0,1,-1) ) )*Ke</f>
        <v>-18.697698720000002</v>
      </c>
    </row>
    <row r="19" spans="1:4">
      <c r="A19">
        <v>-16.190000000000001</v>
      </c>
      <c r="B19">
        <v>27.04</v>
      </c>
      <c r="C19">
        <v>-16.190000000000001</v>
      </c>
      <c r="D19">
        <f>(Table1[[#This Row],[Lv]]-(Table1[[#This Row],[LmA]]*Ra*IF(Table1[[#This Row],[Lv]]&gt;=0,1,-1) ) )*Ke</f>
        <v>-17.380068480000002</v>
      </c>
    </row>
    <row r="20" spans="1:4">
      <c r="A20">
        <v>-14.67</v>
      </c>
      <c r="B20">
        <v>1.84</v>
      </c>
      <c r="C20">
        <v>-14.67</v>
      </c>
      <c r="D20">
        <f>(Table1[[#This Row],[Lv]]-(Table1[[#This Row],[LmA]]*Ra*IF(Table1[[#This Row],[Lv]]&gt;=0,1,-1) ) )*Ke</f>
        <v>-15.83644608</v>
      </c>
    </row>
    <row r="21" spans="1:4">
      <c r="A21">
        <v>-13.62</v>
      </c>
      <c r="B21">
        <v>15.89</v>
      </c>
      <c r="C21">
        <v>-13.62</v>
      </c>
      <c r="D21">
        <f>(Table1[[#This Row],[Lv]]-(Table1[[#This Row],[LmA]]*Ra*IF(Table1[[#This Row],[Lv]]&gt;=0,1,-1) ) )*Ke</f>
        <v>-14.64781968</v>
      </c>
    </row>
    <row r="22" spans="1:4">
      <c r="A22">
        <v>-12.65</v>
      </c>
      <c r="B22">
        <v>4.95</v>
      </c>
      <c r="C22">
        <v>-12.65</v>
      </c>
      <c r="D22">
        <f>(Table1[[#This Row],[Lv]]-(Table1[[#This Row],[LmA]]*Ra*IF(Table1[[#This Row],[Lv]]&gt;=0,1,-1) ) )*Ke</f>
        <v>-13.642754400000001</v>
      </c>
    </row>
    <row r="23" spans="1:4">
      <c r="A23">
        <v>-6.34</v>
      </c>
      <c r="B23">
        <v>1.37</v>
      </c>
      <c r="C23">
        <v>-6.34</v>
      </c>
      <c r="D23">
        <f>(Table1[[#This Row],[Lv]]-(Table1[[#This Row],[LmA]]*Ra*IF(Table1[[#This Row],[Lv]]&gt;=0,1,-1) ) )*Ke</f>
        <v>-6.8418734400000005</v>
      </c>
    </row>
    <row r="24" spans="1:4">
      <c r="A24">
        <v>-5.43</v>
      </c>
      <c r="B24">
        <v>0.01</v>
      </c>
      <c r="C24">
        <v>-5.43</v>
      </c>
      <c r="D24">
        <f>(Table1[[#This Row],[Lv]]-(Table1[[#This Row],[LmA]]*Ra*IF(Table1[[#This Row],[Lv]]&gt;=0,1,-1) ) )*Ke</f>
        <v>-5.8643611200000008</v>
      </c>
    </row>
    <row r="25" spans="1:4">
      <c r="A25">
        <v>-4.53</v>
      </c>
      <c r="B25">
        <v>0</v>
      </c>
      <c r="C25">
        <v>-4.53</v>
      </c>
      <c r="D25">
        <f>(Table1[[#This Row],[Lv]]-(Table1[[#This Row],[LmA]]*Ra*IF(Table1[[#This Row],[Lv]]&gt;=0,1,-1) ) )*Ke</f>
        <v>-4.8924000000000003</v>
      </c>
    </row>
    <row r="26" spans="1:4">
      <c r="A26">
        <v>-3.58</v>
      </c>
      <c r="B26">
        <v>0</v>
      </c>
      <c r="C26">
        <v>-3.58</v>
      </c>
      <c r="D26">
        <f>(Table1[[#This Row],[Lv]]-(Table1[[#This Row],[LmA]]*Ra*IF(Table1[[#This Row],[Lv]]&gt;=0,1,-1) ) )*Ke</f>
        <v>-3.8664000000000005</v>
      </c>
    </row>
    <row r="27" spans="1:4">
      <c r="A27">
        <v>-2.7</v>
      </c>
      <c r="B27">
        <v>0</v>
      </c>
      <c r="C27">
        <v>-2.7</v>
      </c>
      <c r="D27">
        <f>(Table1[[#This Row],[Lv]]-(Table1[[#This Row],[LmA]]*Ra*IF(Table1[[#This Row],[Lv]]&gt;=0,1,-1) ) )*Ke</f>
        <v>-2.9160000000000004</v>
      </c>
    </row>
    <row r="28" spans="1:4">
      <c r="A28">
        <v>-1.8</v>
      </c>
      <c r="B28">
        <v>0</v>
      </c>
      <c r="C28">
        <v>-1.8</v>
      </c>
      <c r="D28">
        <f>(Table1[[#This Row],[Lv]]-(Table1[[#This Row],[LmA]]*Ra*IF(Table1[[#This Row],[Lv]]&gt;=0,1,-1) ) )*Ke</f>
        <v>-1.9440000000000002</v>
      </c>
    </row>
    <row r="29" spans="1:4">
      <c r="A29">
        <v>-0.87</v>
      </c>
      <c r="B29">
        <v>0</v>
      </c>
      <c r="C29">
        <v>-0.87</v>
      </c>
      <c r="D29">
        <f>(Table1[[#This Row],[Lv]]-(Table1[[#This Row],[LmA]]*Ra*IF(Table1[[#This Row],[Lv]]&gt;=0,1,-1) ) )*Ke</f>
        <v>-0.9396000000000001</v>
      </c>
    </row>
    <row r="30" spans="1:4">
      <c r="A30">
        <v>0</v>
      </c>
      <c r="B30">
        <v>0</v>
      </c>
      <c r="C30">
        <v>0</v>
      </c>
      <c r="D30">
        <f>(Table1[[#This Row],[Lv]]-(Table1[[#This Row],[LmA]]*Ra*IF(Table1[[#This Row],[Lv]]&gt;=0,1,-1) ) )*Ke</f>
        <v>0</v>
      </c>
    </row>
    <row r="31" spans="1:4">
      <c r="A31">
        <v>0</v>
      </c>
      <c r="B31">
        <v>0</v>
      </c>
      <c r="C31">
        <v>0</v>
      </c>
      <c r="D31">
        <f>(Table1[[#This Row],[Lv]]-(Table1[[#This Row],[LmA]]*Ra*IF(Table1[[#This Row],[Lv]]&gt;=0,1,-1) ) )*Ke</f>
        <v>0</v>
      </c>
    </row>
    <row r="32" spans="1:4">
      <c r="A32">
        <v>0</v>
      </c>
      <c r="B32">
        <v>0</v>
      </c>
      <c r="C32">
        <v>0</v>
      </c>
      <c r="D32">
        <f>(Table1[[#This Row],[Lv]]-(Table1[[#This Row],[LmA]]*Ra*IF(Table1[[#This Row],[Lv]]&gt;=0,1,-1) ) )*Ke</f>
        <v>0</v>
      </c>
    </row>
    <row r="33" spans="1:4">
      <c r="A33">
        <v>0</v>
      </c>
      <c r="B33">
        <v>0</v>
      </c>
      <c r="C33">
        <v>0</v>
      </c>
      <c r="D33">
        <f>(Table1[[#This Row],[Lv]]-(Table1[[#This Row],[LmA]]*Ra*IF(Table1[[#This Row],[Lv]]&gt;=0,1,-1) ) )*Ke</f>
        <v>0</v>
      </c>
    </row>
    <row r="34" spans="1:4">
      <c r="A34">
        <v>0</v>
      </c>
      <c r="B34">
        <v>0</v>
      </c>
      <c r="C34">
        <v>0</v>
      </c>
      <c r="D34">
        <f>(Table1[[#This Row],[Lv]]-(Table1[[#This Row],[LmA]]*Ra*IF(Table1[[#This Row],[Lv]]&gt;=0,1,-1) ) )*Ke</f>
        <v>0</v>
      </c>
    </row>
    <row r="35" spans="1:4">
      <c r="A35">
        <v>0</v>
      </c>
      <c r="B35">
        <v>0</v>
      </c>
      <c r="C35">
        <v>0</v>
      </c>
      <c r="D35">
        <f>(Table1[[#This Row],[Lv]]-(Table1[[#This Row],[LmA]]*Ra*IF(Table1[[#This Row],[Lv]]&gt;=0,1,-1) ) )*Ke</f>
        <v>0</v>
      </c>
    </row>
    <row r="36" spans="1:4">
      <c r="A36">
        <v>0</v>
      </c>
      <c r="B36">
        <v>0</v>
      </c>
      <c r="C36">
        <v>0</v>
      </c>
      <c r="D36">
        <f>(Table1[[#This Row],[Lv]]-(Table1[[#This Row],[LmA]]*Ra*IF(Table1[[#This Row],[Lv]]&gt;=0,1,-1) ) )*Ke</f>
        <v>0</v>
      </c>
    </row>
    <row r="37" spans="1:4">
      <c r="A37">
        <v>0</v>
      </c>
      <c r="B37">
        <v>0</v>
      </c>
      <c r="C37">
        <v>0</v>
      </c>
      <c r="D37">
        <f>(Table1[[#This Row],[Lv]]-(Table1[[#This Row],[LmA]]*Ra*IF(Table1[[#This Row],[Lv]]&gt;=0,1,-1) ) )*Ke</f>
        <v>0</v>
      </c>
    </row>
    <row r="38" spans="1:4">
      <c r="A38">
        <v>0</v>
      </c>
      <c r="B38">
        <v>0</v>
      </c>
      <c r="C38">
        <v>0</v>
      </c>
      <c r="D38">
        <f>(Table1[[#This Row],[Lv]]-(Table1[[#This Row],[LmA]]*Ra*IF(Table1[[#This Row],[Lv]]&gt;=0,1,-1) ) )*Ke</f>
        <v>0</v>
      </c>
    </row>
    <row r="39" spans="1:4">
      <c r="A39">
        <v>0</v>
      </c>
      <c r="B39">
        <v>0</v>
      </c>
      <c r="C39">
        <v>0</v>
      </c>
      <c r="D39">
        <f>(Table1[[#This Row],[Lv]]-(Table1[[#This Row],[LmA]]*Ra*IF(Table1[[#This Row],[Lv]]&gt;=0,1,-1) ) )*Ke</f>
        <v>0</v>
      </c>
    </row>
    <row r="40" spans="1:4">
      <c r="A40">
        <v>0</v>
      </c>
      <c r="B40">
        <v>0</v>
      </c>
      <c r="C40">
        <v>0</v>
      </c>
      <c r="D40">
        <f>(Table1[[#This Row],[Lv]]-(Table1[[#This Row],[LmA]]*Ra*IF(Table1[[#This Row],[Lv]]&gt;=0,1,-1) ) )*Ke</f>
        <v>0</v>
      </c>
    </row>
    <row r="41" spans="1:4">
      <c r="A41">
        <v>0</v>
      </c>
      <c r="B41">
        <v>0</v>
      </c>
      <c r="C41">
        <v>0</v>
      </c>
      <c r="D41">
        <f>(Table1[[#This Row],[Lv]]-(Table1[[#This Row],[LmA]]*Ra*IF(Table1[[#This Row],[Lv]]&gt;=0,1,-1) ) )*Ke</f>
        <v>0</v>
      </c>
    </row>
    <row r="42" spans="1:4">
      <c r="A42">
        <v>0</v>
      </c>
      <c r="B42">
        <v>0</v>
      </c>
      <c r="C42">
        <v>0</v>
      </c>
      <c r="D42">
        <f>(Table1[[#This Row],[Lv]]-(Table1[[#This Row],[LmA]]*Ra*IF(Table1[[#This Row],[Lv]]&gt;=0,1,-1) ) )*Ke</f>
        <v>0</v>
      </c>
    </row>
    <row r="43" spans="1:4">
      <c r="A43">
        <v>0</v>
      </c>
      <c r="B43">
        <v>0</v>
      </c>
      <c r="C43">
        <v>0</v>
      </c>
      <c r="D43">
        <f>(Table1[[#This Row],[Lv]]-(Table1[[#This Row],[LmA]]*Ra*IF(Table1[[#This Row],[Lv]]&gt;=0,1,-1) ) )*Ke</f>
        <v>0</v>
      </c>
    </row>
    <row r="44" spans="1:4">
      <c r="A44">
        <v>0</v>
      </c>
      <c r="B44">
        <v>0</v>
      </c>
      <c r="C44">
        <v>0</v>
      </c>
      <c r="D44">
        <f>(Table1[[#This Row],[Lv]]-(Table1[[#This Row],[LmA]]*Ra*IF(Table1[[#This Row],[Lv]]&gt;=0,1,-1) ) )*Ke</f>
        <v>0</v>
      </c>
    </row>
    <row r="45" spans="1:4">
      <c r="A45">
        <v>0</v>
      </c>
      <c r="B45">
        <v>0</v>
      </c>
      <c r="C45">
        <v>0</v>
      </c>
      <c r="D45">
        <f>(Table1[[#This Row],[Lv]]-(Table1[[#This Row],[LmA]]*Ra*IF(Table1[[#This Row],[Lv]]&gt;=0,1,-1) ) )*Ke</f>
        <v>0</v>
      </c>
    </row>
    <row r="46" spans="1:4">
      <c r="A46">
        <v>0</v>
      </c>
      <c r="B46">
        <v>0</v>
      </c>
      <c r="C46">
        <v>0</v>
      </c>
      <c r="D46">
        <f>(Table1[[#This Row],[Lv]]-(Table1[[#This Row],[LmA]]*Ra*IF(Table1[[#This Row],[Lv]]&gt;=0,1,-1) ) )*Ke</f>
        <v>0</v>
      </c>
    </row>
    <row r="47" spans="1:4">
      <c r="A47">
        <v>0</v>
      </c>
      <c r="B47">
        <v>0</v>
      </c>
      <c r="C47">
        <v>0</v>
      </c>
      <c r="D47">
        <f>(Table1[[#This Row],[Lv]]-(Table1[[#This Row],[LmA]]*Ra*IF(Table1[[#This Row],[Lv]]&gt;=0,1,-1) ) )*Ke</f>
        <v>0</v>
      </c>
    </row>
    <row r="48" spans="1:4">
      <c r="A48">
        <v>0</v>
      </c>
      <c r="B48">
        <v>0</v>
      </c>
      <c r="C48">
        <v>0</v>
      </c>
      <c r="D48">
        <f>(Table1[[#This Row],[Lv]]-(Table1[[#This Row],[LmA]]*Ra*IF(Table1[[#This Row],[Lv]]&gt;=0,1,-1) ) )*Ke</f>
        <v>0</v>
      </c>
    </row>
    <row r="49" spans="1:4">
      <c r="A49">
        <v>0</v>
      </c>
      <c r="B49">
        <v>0</v>
      </c>
      <c r="C49">
        <v>0</v>
      </c>
      <c r="D49">
        <f>(Table1[[#This Row],[Lv]]-(Table1[[#This Row],[LmA]]*Ra*IF(Table1[[#This Row],[Lv]]&gt;=0,1,-1) ) )*Ke</f>
        <v>0</v>
      </c>
    </row>
    <row r="50" spans="1:4">
      <c r="A50">
        <v>0</v>
      </c>
      <c r="B50">
        <v>0</v>
      </c>
      <c r="C50">
        <v>0</v>
      </c>
      <c r="D50">
        <f>(Table1[[#This Row],[Lv]]-(Table1[[#This Row],[LmA]]*Ra*IF(Table1[[#This Row],[Lv]]&gt;=0,1,-1) ) )*Ke</f>
        <v>0</v>
      </c>
    </row>
    <row r="51" spans="1:4">
      <c r="A51">
        <v>0</v>
      </c>
      <c r="B51">
        <v>0</v>
      </c>
      <c r="C51">
        <v>0</v>
      </c>
      <c r="D51">
        <f>(Table1[[#This Row],[Lv]]-(Table1[[#This Row],[LmA]]*Ra*IF(Table1[[#This Row],[Lv]]&gt;=0,1,-1) ) )*Ke</f>
        <v>0</v>
      </c>
    </row>
    <row r="52" spans="1:4">
      <c r="A52">
        <v>0</v>
      </c>
      <c r="B52">
        <v>0</v>
      </c>
      <c r="C52">
        <v>0</v>
      </c>
      <c r="D52">
        <f>(Table1[[#This Row],[Lv]]-(Table1[[#This Row],[LmA]]*Ra*IF(Table1[[#This Row],[Lv]]&gt;=0,1,-1) ) )*Ke</f>
        <v>0</v>
      </c>
    </row>
    <row r="53" spans="1:4">
      <c r="A53">
        <v>1.65</v>
      </c>
      <c r="B53">
        <v>0</v>
      </c>
      <c r="C53">
        <v>1.65</v>
      </c>
      <c r="D53">
        <f>(Table1[[#This Row],[Lv]]-(Table1[[#This Row],[LmA]]*Ra*IF(Table1[[#This Row],[Lv]]&gt;=0,1,-1) ) )*Ke</f>
        <v>1.782</v>
      </c>
    </row>
    <row r="54" spans="1:4">
      <c r="A54">
        <v>3.65</v>
      </c>
      <c r="B54">
        <v>0</v>
      </c>
      <c r="C54">
        <v>3.65</v>
      </c>
      <c r="D54">
        <f>(Table1[[#This Row],[Lv]]-(Table1[[#This Row],[LmA]]*Ra*IF(Table1[[#This Row],[Lv]]&gt;=0,1,-1) ) )*Ke</f>
        <v>3.9420000000000002</v>
      </c>
    </row>
    <row r="55" spans="1:4">
      <c r="A55">
        <v>5.83</v>
      </c>
      <c r="B55">
        <v>0</v>
      </c>
      <c r="C55">
        <v>5.83</v>
      </c>
      <c r="D55">
        <f>(Table1[[#This Row],[Lv]]-(Table1[[#This Row],[LmA]]*Ra*IF(Table1[[#This Row],[Lv]]&gt;=0,1,-1) ) )*Ke</f>
        <v>6.2964000000000002</v>
      </c>
    </row>
    <row r="56" spans="1:4">
      <c r="A56">
        <v>7.65</v>
      </c>
      <c r="B56">
        <v>2.13</v>
      </c>
      <c r="C56">
        <v>7.65</v>
      </c>
      <c r="D56">
        <f>(Table1[[#This Row],[Lv]]-(Table1[[#This Row],[LmA]]*Ra*IF(Table1[[#This Row],[Lv]]&gt;=0,1,-1) ) )*Ke</f>
        <v>8.2537185600000011</v>
      </c>
    </row>
    <row r="57" spans="1:4">
      <c r="A57">
        <v>9.86</v>
      </c>
      <c r="B57">
        <v>226.26</v>
      </c>
      <c r="C57">
        <v>9.86</v>
      </c>
      <c r="D57">
        <f>(Table1[[#This Row],[Lv]]-(Table1[[#This Row],[LmA]]*Ra*IF(Table1[[#This Row],[Lv]]&gt;=0,1,-1) ) )*Ke</f>
        <v>9.7691011200000002</v>
      </c>
    </row>
    <row r="58" spans="1:4">
      <c r="A58">
        <v>11.89</v>
      </c>
      <c r="B58">
        <v>317.39</v>
      </c>
      <c r="C58">
        <v>11.89</v>
      </c>
      <c r="D58">
        <f>(Table1[[#This Row],[Lv]]-(Table1[[#This Row],[LmA]]*Ra*IF(Table1[[#This Row],[Lv]]&gt;=0,1,-1) ) )*Ke</f>
        <v>11.607187680000001</v>
      </c>
    </row>
    <row r="59" spans="1:4">
      <c r="A59">
        <v>14.03</v>
      </c>
      <c r="B59">
        <v>619.1</v>
      </c>
      <c r="C59">
        <v>14.03</v>
      </c>
      <c r="D59">
        <f>(Table1[[#This Row],[Lv]]-(Table1[[#This Row],[LmA]]*Ra*IF(Table1[[#This Row],[Lv]]&gt;=0,1,-1) ) )*Ke</f>
        <v>12.7453392</v>
      </c>
    </row>
    <row r="60" spans="1:4">
      <c r="A60">
        <v>16.2</v>
      </c>
      <c r="B60">
        <v>702.72</v>
      </c>
      <c r="C60">
        <v>16.2</v>
      </c>
      <c r="D60">
        <f>(Table1[[#This Row],[Lv]]-(Table1[[#This Row],[LmA]]*Ra*IF(Table1[[#This Row],[Lv]]&gt;=0,1,-1) ) )*Ke</f>
        <v>14.763824639999999</v>
      </c>
    </row>
    <row r="61" spans="1:4">
      <c r="A61">
        <v>18.3</v>
      </c>
      <c r="B61">
        <v>1191.55</v>
      </c>
      <c r="C61">
        <v>18.3</v>
      </c>
      <c r="D61">
        <f>(Table1[[#This Row],[Lv]]-(Table1[[#This Row],[LmA]]*Ra*IF(Table1[[#This Row],[Lv]]&gt;=0,1,-1) ) )*Ke</f>
        <v>15.131253600000001</v>
      </c>
    </row>
    <row r="62" spans="1:4">
      <c r="A62">
        <v>20.5</v>
      </c>
      <c r="B62">
        <v>1128.68</v>
      </c>
      <c r="C62">
        <v>20.5</v>
      </c>
      <c r="D62">
        <f>(Table1[[#This Row],[Lv]]-(Table1[[#This Row],[LmA]]*Ra*IF(Table1[[#This Row],[Lv]]&gt;=0,1,-1) ) )*Ke</f>
        <v>17.751692160000001</v>
      </c>
    </row>
    <row r="63" spans="1:4">
      <c r="A63">
        <v>21.34</v>
      </c>
      <c r="B63">
        <v>1016.32</v>
      </c>
      <c r="C63">
        <v>21.34</v>
      </c>
      <c r="D63">
        <f>(Table1[[#This Row],[Lv]]-(Table1[[#This Row],[LmA]]*Ra*IF(Table1[[#This Row],[Lv]]&gt;=0,1,-1) ) )*Ke</f>
        <v>19.095747840000001</v>
      </c>
    </row>
    <row r="64" spans="1:4">
      <c r="A64">
        <v>21.61</v>
      </c>
      <c r="B64">
        <v>688.22</v>
      </c>
      <c r="C64">
        <v>21.61</v>
      </c>
      <c r="D64">
        <f>(Table1[[#This Row],[Lv]]-(Table1[[#This Row],[LmA]]*Ra*IF(Table1[[#This Row],[Lv]]&gt;=0,1,-1) ) )*Ke</f>
        <v>20.66300064</v>
      </c>
    </row>
    <row r="65" spans="1:4">
      <c r="A65">
        <v>21.82</v>
      </c>
      <c r="B65">
        <v>659.03</v>
      </c>
      <c r="C65">
        <v>21.82</v>
      </c>
      <c r="D65">
        <f>(Table1[[#This Row],[Lv]]-(Table1[[#This Row],[LmA]]*Ra*IF(Table1[[#This Row],[Lv]]&gt;=0,1,-1) ) )*Ke</f>
        <v>21.003291360000002</v>
      </c>
    </row>
    <row r="66" spans="1:4">
      <c r="A66">
        <v>22.54</v>
      </c>
      <c r="B66">
        <v>562.09</v>
      </c>
      <c r="C66">
        <v>22.54</v>
      </c>
      <c r="D66">
        <f>(Table1[[#This Row],[Lv]]-(Table1[[#This Row],[LmA]]*Ra*IF(Table1[[#This Row],[Lv]]&gt;=0,1,-1) ) )*Ke</f>
        <v>22.157794079999999</v>
      </c>
    </row>
    <row r="67" spans="1:4">
      <c r="A67">
        <v>23</v>
      </c>
      <c r="B67">
        <v>698.59</v>
      </c>
      <c r="C67">
        <v>23</v>
      </c>
      <c r="D67">
        <f>(Table1[[#This Row],[Lv]]-(Table1[[#This Row],[LmA]]*Ra*IF(Table1[[#This Row],[Lv]]&gt;=0,1,-1) ) )*Ke</f>
        <v>22.123882080000001</v>
      </c>
    </row>
    <row r="68" spans="1:4">
      <c r="A68">
        <v>23.36</v>
      </c>
      <c r="B68">
        <v>601.92999999999995</v>
      </c>
      <c r="C68">
        <v>23.36</v>
      </c>
      <c r="D68">
        <f>(Table1[[#This Row],[Lv]]-(Table1[[#This Row],[LmA]]*Ra*IF(Table1[[#This Row],[Lv]]&gt;=0,1,-1) ) )*Ke</f>
        <v>22.888496160000003</v>
      </c>
    </row>
    <row r="69" spans="1:4">
      <c r="A69">
        <v>24.83</v>
      </c>
      <c r="B69">
        <v>615.36</v>
      </c>
      <c r="C69">
        <v>24.83</v>
      </c>
      <c r="D69">
        <f>(Table1[[#This Row],[Lv]]-(Table1[[#This Row],[LmA]]*Ra*IF(Table1[[#This Row],[Lv]]&gt;=0,1,-1) ) )*Ke</f>
        <v>24.423880320000002</v>
      </c>
    </row>
    <row r="70" spans="1:4">
      <c r="A70">
        <v>26.59</v>
      </c>
      <c r="B70">
        <v>810.44</v>
      </c>
      <c r="C70">
        <v>26.59</v>
      </c>
      <c r="D70">
        <f>(Table1[[#This Row],[Lv]]-(Table1[[#This Row],[LmA]]*Ra*IF(Table1[[#This Row],[Lv]]&gt;=0,1,-1) ) )*Ke</f>
        <v>25.566209279999999</v>
      </c>
    </row>
    <row r="71" spans="1:4">
      <c r="A71">
        <v>28.81</v>
      </c>
      <c r="B71">
        <v>1041.45</v>
      </c>
      <c r="C71">
        <v>28.81</v>
      </c>
      <c r="D71">
        <f>(Table1[[#This Row],[Lv]]-(Table1[[#This Row],[LmA]]*Ra*IF(Table1[[#This Row],[Lv]]&gt;=0,1,-1) ) )*Ke</f>
        <v>27.065642399999998</v>
      </c>
    </row>
    <row r="72" spans="1:4">
      <c r="A72">
        <v>30.86</v>
      </c>
      <c r="B72">
        <v>1111.8499999999999</v>
      </c>
      <c r="C72">
        <v>30.86</v>
      </c>
      <c r="D72">
        <f>(Table1[[#This Row],[Lv]]-(Table1[[#This Row],[LmA]]*Ra*IF(Table1[[#This Row],[Lv]]&gt;=0,1,-1) ) )*Ke</f>
        <v>29.005927200000002</v>
      </c>
    </row>
    <row r="73" spans="1:4">
      <c r="A73">
        <v>33.159999999999997</v>
      </c>
      <c r="B73">
        <v>1078.4000000000001</v>
      </c>
      <c r="C73">
        <v>33.159999999999997</v>
      </c>
      <c r="D73">
        <f>(Table1[[#This Row],[Lv]]-(Table1[[#This Row],[LmA]]*Ra*IF(Table1[[#This Row],[Lv]]&gt;=0,1,-1) ) )*Ke</f>
        <v>31.6199808</v>
      </c>
    </row>
    <row r="74" spans="1:4">
      <c r="A74">
        <v>35.29</v>
      </c>
      <c r="B74">
        <v>1194.69</v>
      </c>
      <c r="C74">
        <v>35.29</v>
      </c>
      <c r="D74">
        <f>(Table1[[#This Row],[Lv]]-(Table1[[#This Row],[LmA]]*Ra*IF(Table1[[#This Row],[Lv]]&gt;=0,1,-1) ) )*Ke</f>
        <v>33.468245279999998</v>
      </c>
    </row>
    <row r="75" spans="1:4">
      <c r="A75">
        <v>37.33</v>
      </c>
      <c r="B75">
        <v>1269.9000000000001</v>
      </c>
      <c r="C75">
        <v>37.33</v>
      </c>
      <c r="D75">
        <f>(Table1[[#This Row],[Lv]]-(Table1[[#This Row],[LmA]]*Ra*IF(Table1[[#This Row],[Lv]]&gt;=0,1,-1) ) )*Ke</f>
        <v>35.3790288</v>
      </c>
    </row>
    <row r="76" spans="1:4">
      <c r="A76">
        <v>39.47</v>
      </c>
      <c r="B76">
        <v>1239.4100000000001</v>
      </c>
      <c r="C76">
        <v>39.47</v>
      </c>
      <c r="D76">
        <f>(Table1[[#This Row],[Lv]]-(Table1[[#This Row],[LmA]]*Ra*IF(Table1[[#This Row],[Lv]]&gt;=0,1,-1) ) )*Ke</f>
        <v>37.80877392</v>
      </c>
    </row>
    <row r="77" spans="1:4">
      <c r="A77">
        <v>41.5</v>
      </c>
      <c r="B77">
        <v>1248.98</v>
      </c>
      <c r="C77">
        <v>41.5</v>
      </c>
      <c r="D77">
        <f>(Table1[[#This Row],[Lv]]-(Table1[[#This Row],[LmA]]*Ra*IF(Table1[[#This Row],[Lv]]&gt;=0,1,-1) ) )*Ke</f>
        <v>39.963965760000008</v>
      </c>
    </row>
    <row r="78" spans="1:4">
      <c r="A78">
        <v>43.79</v>
      </c>
      <c r="B78">
        <v>1258.3599999999999</v>
      </c>
      <c r="C78">
        <v>43.79</v>
      </c>
      <c r="D78">
        <f>(Table1[[#This Row],[Lv]]-(Table1[[#This Row],[LmA]]*Ra*IF(Table1[[#This Row],[Lv]]&gt;=0,1,-1) ) )*Ke</f>
        <v>42.400696320000002</v>
      </c>
    </row>
    <row r="79" spans="1:4">
      <c r="A79">
        <v>44.6</v>
      </c>
      <c r="B79">
        <v>1337.95</v>
      </c>
      <c r="C79">
        <v>44.6</v>
      </c>
      <c r="D79">
        <f>(Table1[[#This Row],[Lv]]-(Table1[[#This Row],[LmA]]*Ra*IF(Table1[[#This Row],[Lv]]&gt;=0,1,-1) ) )*Ke</f>
        <v>42.966050400000007</v>
      </c>
    </row>
    <row r="80" spans="1:4">
      <c r="A80">
        <v>44.48</v>
      </c>
      <c r="B80">
        <v>909.61</v>
      </c>
      <c r="C80">
        <v>44.48</v>
      </c>
      <c r="D80">
        <f>(Table1[[#This Row],[Lv]]-(Table1[[#This Row],[LmA]]*Ra*IF(Table1[[#This Row],[Lv]]&gt;=0,1,-1) ) )*Ke</f>
        <v>44.501836319999995</v>
      </c>
    </row>
    <row r="81" spans="1:4">
      <c r="A81">
        <v>44.82</v>
      </c>
      <c r="B81">
        <v>835.94</v>
      </c>
      <c r="C81">
        <v>44.82</v>
      </c>
      <c r="D81">
        <f>(Table1[[#This Row],[Lv]]-(Table1[[#This Row],[LmA]]*Ra*IF(Table1[[#This Row],[Lv]]&gt;=0,1,-1) ) )*Ke</f>
        <v>45.155465280000008</v>
      </c>
    </row>
    <row r="82" spans="1:4">
      <c r="A82">
        <v>45.66</v>
      </c>
      <c r="B82">
        <v>915.98</v>
      </c>
      <c r="C82">
        <v>45.66</v>
      </c>
      <c r="D82">
        <f>(Table1[[#This Row],[Lv]]-(Table1[[#This Row],[LmA]]*Ra*IF(Table1[[#This Row],[Lv]]&gt;=0,1,-1) ) )*Ke</f>
        <v>45.751469759999999</v>
      </c>
    </row>
    <row r="83" spans="1:4">
      <c r="A83">
        <v>45.74</v>
      </c>
      <c r="B83">
        <v>790.59</v>
      </c>
      <c r="C83">
        <v>45.74</v>
      </c>
      <c r="D83">
        <f>(Table1[[#This Row],[Lv]]-(Table1[[#This Row],[LmA]]*Ra*IF(Table1[[#This Row],[Lv]]&gt;=0,1,-1) ) )*Ke</f>
        <v>46.325386080000001</v>
      </c>
    </row>
    <row r="84" spans="1:4">
      <c r="A84">
        <v>45.68</v>
      </c>
      <c r="B84">
        <v>735.75</v>
      </c>
      <c r="C84">
        <v>45.68</v>
      </c>
      <c r="D84">
        <f>(Table1[[#This Row],[Lv]]-(Table1[[#This Row],[LmA]]*Ra*IF(Table1[[#This Row],[Lv]]&gt;=0,1,-1) ) )*Ke</f>
        <v>46.473804000000008</v>
      </c>
    </row>
    <row r="85" spans="1:4">
      <c r="A85">
        <v>45.56</v>
      </c>
      <c r="B85">
        <v>688.14</v>
      </c>
      <c r="C85">
        <v>45.56</v>
      </c>
      <c r="D85">
        <f>(Table1[[#This Row],[Lv]]-(Table1[[#This Row],[LmA]]*Ra*IF(Table1[[#This Row],[Lv]]&gt;=0,1,-1) ) )*Ke</f>
        <v>46.529311680000006</v>
      </c>
    </row>
    <row r="86" spans="1:4">
      <c r="A86">
        <v>45.56</v>
      </c>
      <c r="B86">
        <v>651.65</v>
      </c>
      <c r="C86">
        <v>45.56</v>
      </c>
      <c r="D86">
        <f>(Table1[[#This Row],[Lv]]-(Table1[[#This Row],[LmA]]*Ra*IF(Table1[[#This Row],[Lv]]&gt;=0,1,-1) ) )*Ke</f>
        <v>46.671184800000006</v>
      </c>
    </row>
    <row r="87" spans="1:4">
      <c r="A87">
        <v>45.56</v>
      </c>
      <c r="B87">
        <v>656.02</v>
      </c>
      <c r="C87">
        <v>45.56</v>
      </c>
      <c r="D87">
        <f>(Table1[[#This Row],[Lv]]-(Table1[[#This Row],[LmA]]*Ra*IF(Table1[[#This Row],[Lv]]&gt;=0,1,-1) ) )*Ke</f>
        <v>46.65419424000001</v>
      </c>
    </row>
    <row r="88" spans="1:4">
      <c r="A88">
        <v>45.61</v>
      </c>
      <c r="B88">
        <v>662.38</v>
      </c>
      <c r="C88">
        <v>45.61</v>
      </c>
      <c r="D88">
        <f>(Table1[[#This Row],[Lv]]-(Table1[[#This Row],[LmA]]*Ra*IF(Table1[[#This Row],[Lv]]&gt;=0,1,-1) ) )*Ke</f>
        <v>46.683466559999999</v>
      </c>
    </row>
    <row r="89" spans="1:4">
      <c r="A89">
        <v>45.56</v>
      </c>
      <c r="B89">
        <v>623.66</v>
      </c>
      <c r="C89">
        <v>45.56</v>
      </c>
      <c r="D89">
        <f>(Table1[[#This Row],[Lv]]-(Table1[[#This Row],[LmA]]*Ra*IF(Table1[[#This Row],[Lv]]&gt;=0,1,-1) ) )*Ke</f>
        <v>46.780009920000005</v>
      </c>
    </row>
    <row r="90" spans="1:4">
      <c r="A90">
        <v>45.56</v>
      </c>
      <c r="B90">
        <v>649.76</v>
      </c>
      <c r="C90">
        <v>45.56</v>
      </c>
      <c r="D90">
        <f>(Table1[[#This Row],[Lv]]-(Table1[[#This Row],[LmA]]*Ra*IF(Table1[[#This Row],[Lv]]&gt;=0,1,-1) ) )*Ke</f>
        <v>46.678533120000012</v>
      </c>
    </row>
    <row r="91" spans="1:4">
      <c r="A91">
        <v>45.72</v>
      </c>
      <c r="B91">
        <v>605.24</v>
      </c>
      <c r="C91">
        <v>45.72</v>
      </c>
      <c r="D91">
        <f>(Table1[[#This Row],[Lv]]-(Table1[[#This Row],[LmA]]*Ra*IF(Table1[[#This Row],[Lv]]&gt;=0,1,-1) ) )*Ke</f>
        <v>47.024426880000007</v>
      </c>
    </row>
    <row r="92" spans="1:4">
      <c r="A92">
        <v>45.76</v>
      </c>
      <c r="B92">
        <v>561.36</v>
      </c>
      <c r="C92">
        <v>45.76</v>
      </c>
      <c r="D92">
        <f>(Table1[[#This Row],[Lv]]-(Table1[[#This Row],[LmA]]*Ra*IF(Table1[[#This Row],[Lv]]&gt;=0,1,-1) ) )*Ke</f>
        <v>47.238232320000002</v>
      </c>
    </row>
    <row r="93" spans="1:4">
      <c r="A93">
        <v>45.72</v>
      </c>
      <c r="B93">
        <v>573.21</v>
      </c>
      <c r="C93">
        <v>45.72</v>
      </c>
      <c r="D93">
        <f>(Table1[[#This Row],[Lv]]-(Table1[[#This Row],[LmA]]*Ra*IF(Table1[[#This Row],[Lv]]&gt;=0,1,-1) ) )*Ke</f>
        <v>47.148959520000005</v>
      </c>
    </row>
    <row r="94" spans="1:4">
      <c r="A94">
        <v>45.77</v>
      </c>
      <c r="B94">
        <v>628.66</v>
      </c>
      <c r="C94">
        <v>45.77</v>
      </c>
      <c r="D94">
        <f>(Table1[[#This Row],[Lv]]-(Table1[[#This Row],[LmA]]*Ra*IF(Table1[[#This Row],[Lv]]&gt;=0,1,-1) ) )*Ke</f>
        <v>46.987369920000006</v>
      </c>
    </row>
    <row r="95" spans="1:4">
      <c r="A95">
        <v>45.67</v>
      </c>
      <c r="B95">
        <v>653.24</v>
      </c>
      <c r="C95">
        <v>45.67</v>
      </c>
      <c r="D95">
        <f>(Table1[[#This Row],[Lv]]-(Table1[[#This Row],[LmA]]*Ra*IF(Table1[[#This Row],[Lv]]&gt;=0,1,-1) ) )*Ke</f>
        <v>46.783802880000003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09AC-82DF-49B8-BE3D-56FB6C448F42}">
  <dimension ref="B1:O29"/>
  <sheetViews>
    <sheetView tabSelected="1" workbookViewId="0">
      <selection activeCell="H24" sqref="H24"/>
    </sheetView>
  </sheetViews>
  <sheetFormatPr defaultRowHeight="15"/>
  <cols>
    <col min="2" max="7" width="11.28515625" style="4" customWidth="1"/>
    <col min="8" max="8" width="13.42578125" customWidth="1"/>
  </cols>
  <sheetData>
    <row r="1" spans="2:15" ht="21">
      <c r="K1" s="3" t="s">
        <v>4</v>
      </c>
    </row>
    <row r="2" spans="2:15">
      <c r="K2" s="2" t="s">
        <v>5</v>
      </c>
      <c r="L2" s="9">
        <v>1.08</v>
      </c>
      <c r="O2">
        <v>1</v>
      </c>
    </row>
    <row r="3" spans="2:15" ht="30">
      <c r="B3" s="6" t="s">
        <v>7</v>
      </c>
      <c r="C3" s="6" t="s">
        <v>12</v>
      </c>
      <c r="D3" s="6" t="s">
        <v>0</v>
      </c>
      <c r="E3" s="6" t="s">
        <v>1</v>
      </c>
      <c r="F3" s="6" t="s">
        <v>8</v>
      </c>
      <c r="G3" s="6" t="s">
        <v>11</v>
      </c>
      <c r="H3" s="7" t="s">
        <v>9</v>
      </c>
      <c r="I3" s="7" t="s">
        <v>10</v>
      </c>
      <c r="K3" s="2" t="s">
        <v>6</v>
      </c>
      <c r="L3" s="9">
        <v>3.5999999999999999E-3</v>
      </c>
      <c r="O3">
        <v>500</v>
      </c>
    </row>
    <row r="4" spans="2:15">
      <c r="B4" s="4">
        <v>69.3</v>
      </c>
      <c r="C4" s="10">
        <f>Table2[[#This Row],[M1Speed]]/400</f>
        <v>0.17324999999999999</v>
      </c>
      <c r="D4" s="4">
        <f>120*Table2[[#This Row],[M1Speed]]/400</f>
        <v>20.79</v>
      </c>
      <c r="E4" s="4">
        <v>410</v>
      </c>
      <c r="F4" s="5">
        <f>IFERROR(60*Table2[[#This Row],[revs]]/Table2[[#This Row],[time (sec)]],"-")</f>
        <v>16.666666666666668</v>
      </c>
      <c r="G4" s="8">
        <f>(Table2[[#This Row],[Lv]]-(Table2[[#This Row],[LmA]]*Ra*IF(Table2[[#This Row],[Lv]]&gt;=0,1,-1) ) )*Ke</f>
        <v>20.859120000000001</v>
      </c>
      <c r="H4" s="4">
        <v>10</v>
      </c>
      <c r="I4" s="4">
        <v>36</v>
      </c>
    </row>
    <row r="5" spans="2:15">
      <c r="B5" s="4">
        <v>123</v>
      </c>
      <c r="C5" s="10">
        <f>Table2[[#This Row],[M1Speed]]/400</f>
        <v>0.3075</v>
      </c>
      <c r="D5" s="4">
        <f>120*Table2[[#This Row],[M1Speed]]/400</f>
        <v>36.9</v>
      </c>
      <c r="E5" s="4">
        <v>510</v>
      </c>
      <c r="F5" s="5">
        <f>IFERROR(60*Table2[[#This Row],[revs]]/Table2[[#This Row],[time (sec)]],"-")</f>
        <v>37.5</v>
      </c>
      <c r="G5" s="4">
        <f>(Table2[[#This Row],[Lv]]-(Table2[[#This Row],[LmA]]*Ra*IF(Table2[[#This Row],[Lv]]&gt;=0,1,-1) ) )*Ke</f>
        <v>37.869120000000002</v>
      </c>
      <c r="H5" s="4">
        <v>10</v>
      </c>
      <c r="I5" s="4">
        <v>16</v>
      </c>
    </row>
    <row r="6" spans="2:15">
      <c r="B6" s="11">
        <v>123</v>
      </c>
      <c r="C6" s="12">
        <f>Table2[[#This Row],[M1Speed]]/400</f>
        <v>0.3075</v>
      </c>
      <c r="D6" s="11">
        <f>120*Table2[[#This Row],[M1Speed]]/400</f>
        <v>36.9</v>
      </c>
      <c r="E6" s="11">
        <v>5</v>
      </c>
      <c r="F6" s="13">
        <v>40</v>
      </c>
      <c r="G6" s="11">
        <f>(Table2[[#This Row],[Lv]]-(Table2[[#This Row],[LmA]]*Ra*IF(Table2[[#This Row],[Lv]]&gt;=0,1,-1) ) )*Ke</f>
        <v>39.832560000000001</v>
      </c>
      <c r="H6" s="11"/>
      <c r="I6" s="11"/>
    </row>
    <row r="7" spans="2:15">
      <c r="B7" s="4">
        <v>123</v>
      </c>
      <c r="C7" s="10">
        <f>Table2[[#This Row],[M1Speed]]/400</f>
        <v>0.3075</v>
      </c>
      <c r="D7" s="4">
        <f>120*Table2[[#This Row],[M1Speed]]/400</f>
        <v>36.9</v>
      </c>
      <c r="E7" s="4">
        <v>950</v>
      </c>
      <c r="F7" s="5">
        <f>IFERROR(60*Table2[[#This Row],[revs]]/Table2[[#This Row],[time (sec)]],"-")</f>
        <v>31.578947368421051</v>
      </c>
      <c r="G7" s="4">
        <f>(Table2[[#This Row],[Lv]]-(Table2[[#This Row],[LmA]]*Ra*IF(Table2[[#This Row],[Lv]]&gt;=0,1,-1) ) )*Ke</f>
        <v>36.1584</v>
      </c>
      <c r="H7" s="4">
        <v>10</v>
      </c>
      <c r="I7" s="4">
        <v>19</v>
      </c>
    </row>
    <row r="8" spans="2:15">
      <c r="B8" s="4">
        <v>123</v>
      </c>
      <c r="C8" s="10">
        <f>Table2[[#This Row],[M1Speed]]/400</f>
        <v>0.3075</v>
      </c>
      <c r="D8" s="4">
        <f>120*Table2[[#This Row],[M1Speed]]/400</f>
        <v>36.9</v>
      </c>
      <c r="E8" s="4">
        <v>1750</v>
      </c>
      <c r="F8" s="5">
        <f>IFERROR(60*Table2[[#This Row],[revs]]/Table2[[#This Row],[time (sec)]],"-")</f>
        <v>30</v>
      </c>
      <c r="G8" s="4">
        <f>(Table2[[#This Row],[Lv]]-(Table2[[#This Row],[LmA]]*Ra*IF(Table2[[#This Row],[Lv]]&gt;=0,1,-1) ) )*Ke</f>
        <v>33.048000000000002</v>
      </c>
      <c r="H8" s="4">
        <v>10</v>
      </c>
      <c r="I8" s="4">
        <v>20</v>
      </c>
    </row>
    <row r="9" spans="2:15">
      <c r="B9" s="4">
        <v>123</v>
      </c>
      <c r="C9" s="10">
        <f>Table2[[#This Row],[M1Speed]]/400</f>
        <v>0.3075</v>
      </c>
      <c r="D9" s="4">
        <f>120*Table2[[#This Row],[M1Speed]]/400</f>
        <v>36.9</v>
      </c>
      <c r="E9" s="4">
        <v>2000</v>
      </c>
      <c r="F9" s="5">
        <f>IFERROR(60*Table2[[#This Row],[revs]]/Table2[[#This Row],[time (sec)]],"-")</f>
        <v>29.556650246305416</v>
      </c>
      <c r="G9" s="4">
        <f>(Table2[[#This Row],[Lv]]-(Table2[[#This Row],[LmA]]*Ra*IF(Table2[[#This Row],[Lv]]&gt;=0,1,-1) ) )*Ke</f>
        <v>32.076000000000001</v>
      </c>
      <c r="H9" s="4">
        <v>10</v>
      </c>
      <c r="I9" s="4">
        <v>20.3</v>
      </c>
    </row>
    <row r="10" spans="2:15">
      <c r="B10" s="4">
        <v>123</v>
      </c>
      <c r="C10" s="10">
        <f>Table2[[#This Row],[M1Speed]]/400</f>
        <v>0.3075</v>
      </c>
      <c r="D10" s="4">
        <f>120*Table2[[#This Row],[M1Speed]]/400</f>
        <v>36.9</v>
      </c>
      <c r="E10" s="4">
        <v>2250</v>
      </c>
      <c r="F10" s="5">
        <f>IFERROR(60*Table2[[#This Row],[revs]]/Table2[[#This Row],[time (sec)]],"-")</f>
        <v>27.272727272727273</v>
      </c>
      <c r="G10" s="4">
        <f>(Table2[[#This Row],[Lv]]-(Table2[[#This Row],[LmA]]*Ra*IF(Table2[[#This Row],[Lv]]&gt;=0,1,-1) ) )*Ke</f>
        <v>31.103999999999999</v>
      </c>
      <c r="H10" s="4">
        <v>10</v>
      </c>
      <c r="I10" s="4">
        <v>22</v>
      </c>
    </row>
    <row r="11" spans="2:15">
      <c r="B11" s="4">
        <v>123</v>
      </c>
      <c r="C11" s="10">
        <f>Table2[[#This Row],[M1Speed]]/400</f>
        <v>0.3075</v>
      </c>
      <c r="D11" s="4">
        <f>120*Table2[[#This Row],[M1Speed]]/400</f>
        <v>36.9</v>
      </c>
      <c r="E11" s="4">
        <v>3250</v>
      </c>
      <c r="F11" s="5">
        <f>IFERROR(60*Table2[[#This Row],[revs]]/Table2[[#This Row],[time (sec)]],"-")</f>
        <v>25</v>
      </c>
      <c r="G11" s="4">
        <f>(Table2[[#This Row],[Lv]]-(Table2[[#This Row],[LmA]]*Ra*IF(Table2[[#This Row],[Lv]]&gt;=0,1,-1) ) )*Ke</f>
        <v>27.216000000000001</v>
      </c>
      <c r="H11" s="4">
        <v>10</v>
      </c>
      <c r="I11" s="4">
        <v>24</v>
      </c>
    </row>
    <row r="12" spans="2:15">
      <c r="B12" s="4">
        <v>123</v>
      </c>
      <c r="C12" s="10">
        <f>Table2[[#This Row],[M1Speed]]/400</f>
        <v>0.3075</v>
      </c>
      <c r="D12" s="4">
        <f>120*Table2[[#This Row],[M1Speed]]/400</f>
        <v>36.9</v>
      </c>
      <c r="E12" s="4">
        <v>5000</v>
      </c>
      <c r="F12" s="5">
        <f>IFERROR(60*Table2[[#This Row],[revs]]/Table2[[#This Row],[time (sec)]],"-")</f>
        <v>21.428571428571427</v>
      </c>
      <c r="G12" s="4">
        <f>(Table2[[#This Row],[Lv]]-(Table2[[#This Row],[LmA]]*Ra*IF(Table2[[#This Row],[Lv]]&gt;=0,1,-1) ) )*Ke</f>
        <v>20.411999999999999</v>
      </c>
      <c r="H12" s="4">
        <v>5</v>
      </c>
      <c r="I12" s="4">
        <v>14</v>
      </c>
    </row>
    <row r="13" spans="2:15">
      <c r="B13" s="4">
        <v>245</v>
      </c>
      <c r="C13" s="10">
        <f>Table2[[#This Row],[M1Speed]]/400</f>
        <v>0.61250000000000004</v>
      </c>
      <c r="D13" s="4">
        <f>120*Table2[[#This Row],[M1Speed]]/400</f>
        <v>73.5</v>
      </c>
      <c r="E13" s="4">
        <v>740</v>
      </c>
      <c r="F13" s="5">
        <f>IFERROR(60*Table2[[#This Row],[revs]]/Table2[[#This Row],[time (sec)]],"-")</f>
        <v>75</v>
      </c>
      <c r="G13" s="4">
        <f>(Table2[[#This Row],[Lv]]-(Table2[[#This Row],[LmA]]*Ra*IF(Table2[[#This Row],[Lv]]&gt;=0,1,-1) ) )*Ke</f>
        <v>76.502880000000005</v>
      </c>
      <c r="H13" s="4">
        <v>10</v>
      </c>
      <c r="I13" s="4">
        <v>8</v>
      </c>
    </row>
    <row r="14" spans="2:15">
      <c r="B14" s="4">
        <v>245</v>
      </c>
      <c r="C14" s="10">
        <f>Table2[[#This Row],[M1Speed]]/400</f>
        <v>0.61250000000000004</v>
      </c>
      <c r="D14" s="4">
        <f>120*Table2[[#This Row],[M1Speed]]/400</f>
        <v>73.5</v>
      </c>
      <c r="E14" s="4">
        <v>3150</v>
      </c>
      <c r="F14" s="5">
        <f>IFERROR(60*Table2[[#This Row],[revs]]/Table2[[#This Row],[time (sec)]],"-")</f>
        <v>65.934065934065941</v>
      </c>
      <c r="G14" s="4">
        <f>(Table2[[#This Row],[Lv]]-(Table2[[#This Row],[LmA]]*Ra*IF(Table2[[#This Row],[Lv]]&gt;=0,1,-1) ) )*Ke</f>
        <v>67.132800000000003</v>
      </c>
      <c r="H14" s="4">
        <v>10</v>
      </c>
      <c r="I14" s="4">
        <v>9.1</v>
      </c>
    </row>
    <row r="15" spans="2:15">
      <c r="B15" s="4">
        <v>245</v>
      </c>
      <c r="C15" s="10">
        <f>Table2[[#This Row],[M1Speed]]/400</f>
        <v>0.61250000000000004</v>
      </c>
      <c r="D15" s="4">
        <f>120*Table2[[#This Row],[M1Speed]]/400</f>
        <v>73.5</v>
      </c>
      <c r="E15" s="4">
        <v>3500</v>
      </c>
      <c r="F15" s="5">
        <f>IFERROR(60*Table2[[#This Row],[revs]]/Table2[[#This Row],[time (sec)]],"-")</f>
        <v>64.516129032258064</v>
      </c>
      <c r="G15" s="4">
        <f>(Table2[[#This Row],[Lv]]-(Table2[[#This Row],[LmA]]*Ra*IF(Table2[[#This Row],[Lv]]&gt;=0,1,-1) ) )*Ke</f>
        <v>65.772000000000006</v>
      </c>
      <c r="H15" s="4">
        <v>10</v>
      </c>
      <c r="I15" s="4">
        <v>9.3000000000000007</v>
      </c>
    </row>
    <row r="16" spans="2:15">
      <c r="B16" s="4">
        <v>245</v>
      </c>
      <c r="C16" s="10">
        <f>Table2[[#This Row],[M1Speed]]/400</f>
        <v>0.61250000000000004</v>
      </c>
      <c r="D16" s="4">
        <f>120*Table2[[#This Row],[M1Speed]]/400</f>
        <v>73.5</v>
      </c>
      <c r="E16" s="4">
        <v>3800</v>
      </c>
      <c r="F16" s="5">
        <f>IFERROR(60*Table2[[#This Row],[revs]]/Table2[[#This Row],[time (sec)]],"-")</f>
        <v>63.157894736842103</v>
      </c>
      <c r="G16" s="4">
        <f>(Table2[[#This Row],[Lv]]-(Table2[[#This Row],[LmA]]*Ra*IF(Table2[[#This Row],[Lv]]&gt;=0,1,-1) ) )*Ke</f>
        <v>64.60560000000001</v>
      </c>
      <c r="H16" s="4">
        <v>10</v>
      </c>
      <c r="I16" s="4">
        <v>9.5</v>
      </c>
    </row>
    <row r="17" spans="2:9">
      <c r="B17" s="4">
        <v>245</v>
      </c>
      <c r="C17" s="10">
        <f>Table2[[#This Row],[M1Speed]]/400</f>
        <v>0.61250000000000004</v>
      </c>
      <c r="D17" s="4">
        <f>120*Table2[[#This Row],[M1Speed]]/400</f>
        <v>73.5</v>
      </c>
      <c r="E17" s="4">
        <v>4000</v>
      </c>
      <c r="F17" s="5">
        <f>IFERROR(60*Table2[[#This Row],[revs]]/Table2[[#This Row],[time (sec)]],"-")</f>
        <v>63.829787234042549</v>
      </c>
      <c r="G17" s="4">
        <f>(Table2[[#This Row],[Lv]]-(Table2[[#This Row],[LmA]]*Ra*IF(Table2[[#This Row],[Lv]]&gt;=0,1,-1) ) )*Ke</f>
        <v>63.828000000000003</v>
      </c>
      <c r="H17" s="4">
        <v>10</v>
      </c>
      <c r="I17" s="4">
        <v>9.4</v>
      </c>
    </row>
    <row r="18" spans="2:9">
      <c r="B18" s="4">
        <v>245</v>
      </c>
      <c r="C18" s="10">
        <f>Table2[[#This Row],[M1Speed]]/400</f>
        <v>0.61250000000000004</v>
      </c>
      <c r="D18" s="4">
        <f>120*Table2[[#This Row],[M1Speed]]/400</f>
        <v>73.5</v>
      </c>
      <c r="E18" s="4">
        <v>4900</v>
      </c>
      <c r="F18" s="5">
        <f>IFERROR(60*Table2[[#This Row],[revs]]/Table2[[#This Row],[time (sec)]],"-")</f>
        <v>58.82352941176471</v>
      </c>
      <c r="G18" s="4">
        <f>(Table2[[#This Row],[Lv]]-(Table2[[#This Row],[LmA]]*Ra*IF(Table2[[#This Row],[Lv]]&gt;=0,1,-1) ) )*Ke</f>
        <v>60.328800000000001</v>
      </c>
      <c r="H18" s="4">
        <v>10</v>
      </c>
      <c r="I18" s="4">
        <v>10.199999999999999</v>
      </c>
    </row>
    <row r="19" spans="2:9">
      <c r="B19" s="4">
        <v>245</v>
      </c>
      <c r="C19" s="10">
        <f>Table2[[#This Row],[M1Speed]]/400</f>
        <v>0.61250000000000004</v>
      </c>
      <c r="D19" s="4">
        <f>120*Table2[[#This Row],[M1Speed]]/400</f>
        <v>73.5</v>
      </c>
      <c r="E19" s="4">
        <v>5300</v>
      </c>
      <c r="F19" s="5">
        <f>IFERROR(60*Table2[[#This Row],[revs]]/Table2[[#This Row],[time (sec)]],"-")</f>
        <v>55.55555555555555</v>
      </c>
      <c r="G19" s="4">
        <f>(Table2[[#This Row],[Lv]]-(Table2[[#This Row],[LmA]]*Ra*IF(Table2[[#This Row],[Lv]]&gt;=0,1,-1) ) )*Ke</f>
        <v>58.773600000000009</v>
      </c>
      <c r="H19" s="4">
        <v>10</v>
      </c>
      <c r="I19" s="4">
        <v>10.8</v>
      </c>
    </row>
    <row r="20" spans="2:9">
      <c r="B20" s="4">
        <v>305</v>
      </c>
      <c r="C20" s="10">
        <f>Table2[[#This Row],[M1Speed]]/400</f>
        <v>0.76249999999999996</v>
      </c>
      <c r="D20" s="4">
        <f>120*Table2[[#This Row],[M1Speed]]/400</f>
        <v>91.5</v>
      </c>
      <c r="E20" s="4">
        <v>810</v>
      </c>
      <c r="F20" s="5">
        <f>IFERROR(60*Table2[[#This Row],[revs]]/Table2[[#This Row],[time (sec)]],"-")</f>
        <v>100</v>
      </c>
      <c r="G20" s="4">
        <f>(Table2[[#This Row],[Lv]]-(Table2[[#This Row],[LmA]]*Ra*IF(Table2[[#This Row],[Lv]]&gt;=0,1,-1) ) )*Ke</f>
        <v>95.670720000000003</v>
      </c>
      <c r="H20" s="4">
        <v>20</v>
      </c>
      <c r="I20" s="4">
        <v>12</v>
      </c>
    </row>
    <row r="21" spans="2:9">
      <c r="B21" s="4">
        <v>305</v>
      </c>
      <c r="C21" s="10">
        <f>Table2[[#This Row],[M1Speed]]/400</f>
        <v>0.76249999999999996</v>
      </c>
      <c r="D21" s="4">
        <f>120*Table2[[#This Row],[M1Speed]]/400</f>
        <v>91.5</v>
      </c>
      <c r="E21" s="4">
        <v>4500</v>
      </c>
      <c r="F21" s="5">
        <f>IFERROR(60*Table2[[#This Row],[revs]]/Table2[[#This Row],[time (sec)]],"-")</f>
        <v>78.94736842105263</v>
      </c>
      <c r="G21" s="4">
        <f>(Table2[[#This Row],[Lv]]-(Table2[[#This Row],[LmA]]*Ra*IF(Table2[[#This Row],[Lv]]&gt;=0,1,-1) ) )*Ke</f>
        <v>81.323999999999998</v>
      </c>
      <c r="H21" s="4">
        <v>10</v>
      </c>
      <c r="I21" s="4">
        <v>7.6</v>
      </c>
    </row>
    <row r="22" spans="2:9">
      <c r="B22" s="4">
        <v>305</v>
      </c>
      <c r="C22" s="10">
        <f>Table2[[#This Row],[M1Speed]]/400</f>
        <v>0.76249999999999996</v>
      </c>
      <c r="D22" s="4">
        <f>120*Table2[[#This Row],[M1Speed]]/400</f>
        <v>91.5</v>
      </c>
      <c r="E22" s="4">
        <v>6300</v>
      </c>
      <c r="F22" s="5">
        <f>IFERROR(60*Table2[[#This Row],[revs]]/Table2[[#This Row],[time (sec)]],"-")</f>
        <v>75.949367088607588</v>
      </c>
      <c r="G22" s="4">
        <f>(Table2[[#This Row],[Lv]]-(Table2[[#This Row],[LmA]]*Ra*IF(Table2[[#This Row],[Lv]]&gt;=0,1,-1) ) )*Ke</f>
        <v>74.325599999999994</v>
      </c>
      <c r="H22" s="4">
        <v>10</v>
      </c>
      <c r="I22" s="4">
        <v>7.9</v>
      </c>
    </row>
    <row r="23" spans="2:9">
      <c r="B23" s="4">
        <v>397</v>
      </c>
      <c r="C23" s="10">
        <f>Table2[[#This Row],[M1Speed]]/400</f>
        <v>0.99250000000000005</v>
      </c>
      <c r="D23" s="4">
        <f>120*Table2[[#This Row],[M1Speed]]/400</f>
        <v>119.1</v>
      </c>
      <c r="E23" s="4">
        <v>1000</v>
      </c>
      <c r="F23" s="5">
        <f>IFERROR(60*Table2[[#This Row],[revs]]/Table2[[#This Row],[time (sec)]],"-")</f>
        <v>125</v>
      </c>
      <c r="G23" s="4">
        <f>(Table2[[#This Row],[Lv]]-(Table2[[#This Row],[LmA]]*Ra*IF(Table2[[#This Row],[Lv]]&gt;=0,1,-1) ) )*Ke</f>
        <v>124.74000000000001</v>
      </c>
      <c r="H23" s="4">
        <v>50</v>
      </c>
      <c r="I23" s="4">
        <v>24</v>
      </c>
    </row>
    <row r="24" spans="2:9">
      <c r="B24" s="11">
        <v>123</v>
      </c>
      <c r="C24" s="12">
        <f>Table2[[#This Row],[M1Speed]]/400</f>
        <v>0.3075</v>
      </c>
      <c r="D24" s="14">
        <f>120*Table2[[#This Row],[M1Speed]]/400</f>
        <v>36.9</v>
      </c>
      <c r="E24" s="11">
        <v>0</v>
      </c>
      <c r="F24" s="13">
        <f>Table2[[#This Row],[M1Speed]]*$O$2</f>
        <v>123</v>
      </c>
      <c r="G24" s="14">
        <f>(Table2[[#This Row],[Lv]]-(Table2[[#This Row],[LmA]]*Ra*IF(Table2[[#This Row],[Lv]]&gt;=0,1,-1) ) )*Ke</f>
        <v>39.852000000000004</v>
      </c>
      <c r="H24" s="11">
        <f>100*(1-Table2[[#This Row],[LmA]]/$O$3)</f>
        <v>100</v>
      </c>
      <c r="I24" s="11"/>
    </row>
    <row r="25" spans="2:9">
      <c r="B25" s="11">
        <v>123</v>
      </c>
      <c r="C25" s="12">
        <f>Table2[[#This Row],[M1Speed]]/400</f>
        <v>0.3075</v>
      </c>
      <c r="D25" s="14">
        <f>120*Table2[[#This Row],[M1Speed]]/400</f>
        <v>36.9</v>
      </c>
      <c r="E25" s="11">
        <f>$O$3</f>
        <v>500</v>
      </c>
      <c r="F25" s="13">
        <v>0</v>
      </c>
      <c r="G25" s="14">
        <f>(Table2[[#This Row],[Lv]]-(Table2[[#This Row],[LmA]]*Ra*IF(Table2[[#This Row],[Lv]]&gt;=0,1,-1) ) )*Ke</f>
        <v>37.908000000000001</v>
      </c>
      <c r="H25" s="11">
        <f>Table2[[#This Row],[M1Speed]]*(1-Table2[[#This Row],[LmA]]/$O$3)</f>
        <v>0</v>
      </c>
      <c r="I25" s="11"/>
    </row>
    <row r="26" spans="2:9">
      <c r="B26" s="11">
        <v>245</v>
      </c>
      <c r="C26" s="12">
        <f>Table2[[#This Row],[M1Speed]]/400</f>
        <v>0.61250000000000004</v>
      </c>
      <c r="D26" s="14">
        <f>120*Table2[[#This Row],[M1Speed]]/400</f>
        <v>73.5</v>
      </c>
      <c r="E26" s="11">
        <v>0</v>
      </c>
      <c r="F26" s="13">
        <f>Table2[[#This Row],[M1Speed]]*$O$2</f>
        <v>245</v>
      </c>
      <c r="G26" s="14">
        <f>(Table2[[#This Row],[Lv]]-(Table2[[#This Row],[LmA]]*Ra*IF(Table2[[#This Row],[Lv]]&gt;=0,1,-1) ) )*Ke</f>
        <v>79.38000000000001</v>
      </c>
      <c r="H26" s="11">
        <f>Table2[[#This Row],[M1Speed]]*(1-Table2[[#This Row],[LmA]]/$O$3)</f>
        <v>245</v>
      </c>
      <c r="I26" s="11"/>
    </row>
    <row r="27" spans="2:9">
      <c r="B27" s="11">
        <v>245</v>
      </c>
      <c r="C27" s="12">
        <f>Table2[[#This Row],[M1Speed]]/400</f>
        <v>0.61250000000000004</v>
      </c>
      <c r="D27" s="14">
        <f>120*Table2[[#This Row],[M1Speed]]/400</f>
        <v>73.5</v>
      </c>
      <c r="E27" s="11">
        <f>$O$3</f>
        <v>500</v>
      </c>
      <c r="F27" s="13">
        <v>0</v>
      </c>
      <c r="G27" s="14">
        <f>(Table2[[#This Row],[Lv]]-(Table2[[#This Row],[LmA]]*Ra*IF(Table2[[#This Row],[Lv]]&gt;=0,1,-1) ) )*Ke</f>
        <v>77.436000000000007</v>
      </c>
      <c r="H27" s="11">
        <f>Table2[[#This Row],[M1Speed]]*(1-Table2[[#This Row],[LmA]]/$O$3)</f>
        <v>0</v>
      </c>
      <c r="I27" s="11"/>
    </row>
    <row r="28" spans="2:9">
      <c r="B28" s="11">
        <v>305</v>
      </c>
      <c r="C28" s="12">
        <f>Table2[[#This Row],[M1Speed]]/400</f>
        <v>0.76249999999999996</v>
      </c>
      <c r="D28" s="14">
        <f>120*Table2[[#This Row],[M1Speed]]/400</f>
        <v>91.5</v>
      </c>
      <c r="E28" s="11">
        <v>0</v>
      </c>
      <c r="F28" s="13">
        <f>Table2[[#This Row],[M1Speed]]*$O$2</f>
        <v>305</v>
      </c>
      <c r="G28" s="14">
        <f>(Table2[[#This Row],[Lv]]-(Table2[[#This Row],[LmA]]*Ra*IF(Table2[[#This Row],[Lv]]&gt;=0,1,-1) ) )*Ke</f>
        <v>98.820000000000007</v>
      </c>
      <c r="H28" s="11">
        <f>Table2[[#This Row],[M1Speed]]*(1-Table2[[#This Row],[LmA]]/$O$3)</f>
        <v>305</v>
      </c>
      <c r="I28" s="11"/>
    </row>
    <row r="29" spans="2:9">
      <c r="B29" s="11">
        <v>305</v>
      </c>
      <c r="C29" s="12">
        <f>Table2[[#This Row],[M1Speed]]/400</f>
        <v>0.76249999999999996</v>
      </c>
      <c r="D29" s="14">
        <f>120*Table2[[#This Row],[M1Speed]]/400</f>
        <v>91.5</v>
      </c>
      <c r="E29" s="11">
        <f>$O$3</f>
        <v>500</v>
      </c>
      <c r="F29" s="13">
        <v>0</v>
      </c>
      <c r="G29" s="14">
        <f>(Table2[[#This Row],[Lv]]-(Table2[[#This Row],[LmA]]*Ra*IF(Table2[[#This Row],[Lv]]&gt;=0,1,-1) ) )*Ke</f>
        <v>96.876000000000005</v>
      </c>
      <c r="H29" s="11">
        <f>Table2[[#This Row],[M1Speed]]*(1-Table2[[#This Row],[LmA]]/$O$3)</f>
        <v>0</v>
      </c>
      <c r="I29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 Load Rampup</vt:lpstr>
      <vt:lpstr>Loaded at Various %PWM</vt:lpstr>
      <vt:lpstr>Ke</vt:lpstr>
      <vt:lpstr>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Smith</dc:creator>
  <cp:lastModifiedBy>Bill Smith</cp:lastModifiedBy>
  <dcterms:created xsi:type="dcterms:W3CDTF">2024-02-13T21:43:47Z</dcterms:created>
  <dcterms:modified xsi:type="dcterms:W3CDTF">2024-02-17T18:35:13Z</dcterms:modified>
</cp:coreProperties>
</file>