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smit\ECM_Arise\wildthing-collaboration\"/>
    </mc:Choice>
  </mc:AlternateContent>
  <xr:revisionPtr revIDLastSave="0" documentId="13_ncr:1_{CEA7CA8A-82B7-459F-BA92-A0D14D212688}" xr6:coauthVersionLast="47" xr6:coauthVersionMax="47" xr10:uidLastSave="{00000000-0000-0000-0000-000000000000}"/>
  <bookViews>
    <workbookView xWindow="28785" yWindow="0" windowWidth="27705" windowHeight="15510" firstSheet="1" activeTab="3" xr2:uid="{32957A1D-A048-44BF-9EEF-6722D37710EC}"/>
  </bookViews>
  <sheets>
    <sheet name="UserRequirements" sheetId="1" r:id="rId1"/>
    <sheet name="ECMRequirements" sheetId="3" r:id="rId2"/>
    <sheet name="SW Connection Diagram" sheetId="2" r:id="rId3"/>
    <sheet name="Ready" sheetId="4" r:id="rId4"/>
  </sheets>
  <definedNames>
    <definedName name="OutlineLevel" localSheetId="1">GET.CELL(28,ECMRequirements!A1)</definedName>
    <definedName name="OutlineLevel">GET.CELL(28,UserRequirements!A1)</definedName>
    <definedName name="_xlnm.Print_Area" localSheetId="1">ECMRequirements!$A:$R</definedName>
    <definedName name="_xlnm.Print_Area" localSheetId="0">UserRequirements!$A:$R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7" i="3" l="1" a="1"/>
  <c r="Q16" i="3" a="1"/>
  <c r="L15" i="3" a="1"/>
  <c r="O13" i="3" a="1"/>
  <c r="K13" i="3" a="1"/>
  <c r="N11" i="3" a="1"/>
  <c r="Q17" i="3" a="1"/>
  <c r="L16" i="3" a="1"/>
  <c r="O14" i="3" a="1"/>
  <c r="N12" i="3" a="1"/>
  <c r="M10" i="3" a="1"/>
  <c r="Q11" i="3" a="1"/>
  <c r="L10" i="3" a="1"/>
  <c r="O17" i="3" a="1"/>
  <c r="Q12" i="3" a="1"/>
  <c r="L11" i="3" a="1"/>
  <c r="N16" i="3" a="1"/>
  <c r="M14" i="3" a="1"/>
  <c r="L12" i="3" a="1"/>
  <c r="O10" i="3" a="1"/>
  <c r="N17" i="3" a="1"/>
  <c r="L13" i="3" a="1"/>
  <c r="M16" i="3" a="1"/>
  <c r="L14" i="3" a="1"/>
  <c r="O11" i="3" a="1"/>
  <c r="L17" i="3" a="1"/>
  <c r="O15" i="3" a="1"/>
  <c r="K15" i="3" a="1"/>
  <c r="N13" i="3" a="1"/>
  <c r="M11" i="3" a="1"/>
  <c r="Q10" i="3" a="1"/>
  <c r="O16" i="3" a="1"/>
  <c r="N14" i="3" a="1"/>
  <c r="M12" i="3" a="1"/>
  <c r="N15" i="3" a="1"/>
  <c r="M13" i="3" a="1"/>
  <c r="Q13" i="3" a="1"/>
  <c r="M15" i="3" a="1"/>
  <c r="Q14" i="3" a="1"/>
  <c r="K11" i="3" a="1"/>
  <c r="Q15" i="3" a="1"/>
  <c r="O12" i="3" a="1"/>
  <c r="N10" i="3" a="1"/>
  <c r="Q12" i="1" a="1"/>
  <c r="Q9" i="1" a="1"/>
  <c r="Q13" i="1" a="1"/>
  <c r="Q14" i="1" a="1"/>
  <c r="Q15" i="1" a="1"/>
  <c r="Q16" i="1" a="1"/>
  <c r="Q17" i="1" a="1"/>
  <c r="Q10" i="1" a="1"/>
  <c r="Q11" i="1" a="1"/>
  <c r="M9" i="3" a="1"/>
  <c r="Q9" i="3" a="1"/>
  <c r="L9" i="3" a="1"/>
  <c r="O9" i="3" a="1"/>
  <c r="K9" i="3" a="1"/>
  <c r="J9" i="3" a="1"/>
  <c r="N9" i="3" a="1"/>
  <c r="N17" i="1" a="1"/>
  <c r="N10" i="1" a="1"/>
  <c r="K14" i="1" a="1"/>
  <c r="N12" i="1" a="1"/>
  <c r="L16" i="1" a="1"/>
  <c r="O17" i="1" a="1"/>
  <c r="N13" i="1" a="1"/>
  <c r="O14" i="1" a="1"/>
  <c r="K9" i="1" a="1"/>
  <c r="O11" i="1" a="1"/>
  <c r="O10" i="1" a="1"/>
  <c r="O12" i="1" a="1"/>
  <c r="M9" i="1" a="1"/>
  <c r="M16" i="1" a="1"/>
  <c r="L15" i="1" a="1"/>
  <c r="O15" i="1" a="1"/>
  <c r="L14" i="1" a="1"/>
  <c r="L17" i="1" a="1"/>
  <c r="N11" i="1" a="1"/>
  <c r="M12" i="1" a="1"/>
  <c r="L9" i="1" a="1"/>
  <c r="M14" i="1" a="1"/>
  <c r="O16" i="1" a="1"/>
  <c r="J9" i="1" a="1"/>
  <c r="N15" i="1" a="1"/>
  <c r="M13" i="1" a="1"/>
  <c r="O9" i="1" a="1"/>
  <c r="N9" i="1" a="1"/>
  <c r="M15" i="1" a="1"/>
  <c r="N14" i="1" a="1"/>
  <c r="M10" i="1" a="1"/>
  <c r="O13" i="1" a="1"/>
  <c r="K17" i="1" a="1"/>
  <c r="M11" i="1" a="1"/>
  <c r="M17" i="1" a="1"/>
  <c r="N16" i="1" a="1"/>
  <c r="L10" i="1" a="1"/>
  <c r="N10" i="3" l="1"/>
  <c r="O12" i="3"/>
  <c r="Q15" i="3"/>
  <c r="P15" i="3" s="1"/>
  <c r="K11" i="3"/>
  <c r="Q14" i="3"/>
  <c r="M15" i="3"/>
  <c r="Q13" i="3"/>
  <c r="P13" i="3" s="1"/>
  <c r="M13" i="3"/>
  <c r="N15" i="3"/>
  <c r="M12" i="3"/>
  <c r="N14" i="3"/>
  <c r="O16" i="3"/>
  <c r="Q10" i="3"/>
  <c r="M11" i="3"/>
  <c r="N13" i="3"/>
  <c r="K15" i="3"/>
  <c r="O15" i="3"/>
  <c r="L17" i="3"/>
  <c r="O11" i="3"/>
  <c r="L14" i="3"/>
  <c r="M16" i="3"/>
  <c r="L13" i="3"/>
  <c r="N17" i="3"/>
  <c r="O10" i="3"/>
  <c r="L12" i="3"/>
  <c r="M14" i="3"/>
  <c r="N16" i="3"/>
  <c r="L11" i="3"/>
  <c r="Q12" i="3"/>
  <c r="O17" i="3"/>
  <c r="L10" i="3"/>
  <c r="Q11" i="3"/>
  <c r="P11" i="3" s="1"/>
  <c r="M10" i="3"/>
  <c r="N12" i="3"/>
  <c r="O14" i="3"/>
  <c r="L16" i="3"/>
  <c r="Q17" i="3"/>
  <c r="P17" i="3" s="1"/>
  <c r="N11" i="3"/>
  <c r="K13" i="3"/>
  <c r="O13" i="3"/>
  <c r="L15" i="3"/>
  <c r="Q16" i="3"/>
  <c r="M17" i="3"/>
  <c r="N9" i="3"/>
  <c r="J9" i="3"/>
  <c r="K9" i="3"/>
  <c r="O9" i="3"/>
  <c r="L9" i="3"/>
  <c r="Q9" i="3"/>
  <c r="M9" i="3"/>
  <c r="Q11" i="1"/>
  <c r="O16" i="1"/>
  <c r="Q10" i="1"/>
  <c r="K14" i="1"/>
  <c r="O14" i="1"/>
  <c r="L16" i="1"/>
  <c r="Q17" i="1"/>
  <c r="P17" i="1" s="1"/>
  <c r="N11" i="1"/>
  <c r="O13" i="1"/>
  <c r="L15" i="1"/>
  <c r="Q16" i="1"/>
  <c r="M17" i="1"/>
  <c r="N10" i="1"/>
  <c r="O12" i="1"/>
  <c r="L14" i="1"/>
  <c r="Q15" i="1"/>
  <c r="M16" i="1"/>
  <c r="L10" i="1"/>
  <c r="M12" i="1"/>
  <c r="N14" i="1"/>
  <c r="M11" i="1"/>
  <c r="N13" i="1"/>
  <c r="O15" i="1"/>
  <c r="L17" i="1"/>
  <c r="M10" i="1"/>
  <c r="N12" i="1"/>
  <c r="O11" i="1"/>
  <c r="Q14" i="1"/>
  <c r="M15" i="1"/>
  <c r="N17" i="1"/>
  <c r="O10" i="1"/>
  <c r="Q13" i="1"/>
  <c r="M14" i="1"/>
  <c r="N16" i="1"/>
  <c r="Q12" i="1"/>
  <c r="M13" i="1"/>
  <c r="N15" i="1"/>
  <c r="K17" i="1"/>
  <c r="O17" i="1"/>
  <c r="J9" i="1"/>
  <c r="M9" i="1"/>
  <c r="L9" i="1"/>
  <c r="O9" i="1"/>
  <c r="Q9" i="1"/>
  <c r="K9" i="1"/>
  <c r="N9" i="1"/>
  <c r="K14" i="3" a="1"/>
  <c r="K12" i="3" a="1"/>
  <c r="J10" i="3" a="1"/>
  <c r="K10" i="3" a="1"/>
  <c r="K16" i="3" a="1"/>
  <c r="L11" i="1" a="1"/>
  <c r="K10" i="1" a="1"/>
  <c r="J10" i="1" a="1"/>
  <c r="K15" i="1" a="1"/>
  <c r="P13" i="1" l="1"/>
  <c r="P14" i="3"/>
  <c r="P15" i="1"/>
  <c r="K16" i="3"/>
  <c r="K10" i="3"/>
  <c r="J10" i="3"/>
  <c r="K12" i="3"/>
  <c r="K14" i="3"/>
  <c r="P12" i="3"/>
  <c r="P10" i="3"/>
  <c r="P16" i="3"/>
  <c r="P14" i="1"/>
  <c r="P16" i="1"/>
  <c r="P10" i="1"/>
  <c r="A9" i="3"/>
  <c r="P9" i="3"/>
  <c r="A9" i="1"/>
  <c r="K10" i="1"/>
  <c r="K15" i="1"/>
  <c r="L11" i="1"/>
  <c r="J10" i="1"/>
  <c r="P12" i="1"/>
  <c r="P11" i="1"/>
  <c r="P9" i="1"/>
  <c r="K17" i="3" a="1"/>
  <c r="J11" i="3" a="1"/>
  <c r="K11" i="1" a="1"/>
  <c r="K16" i="1" a="1"/>
  <c r="L12" i="1" a="1"/>
  <c r="J11" i="1" a="1"/>
  <c r="J11" i="3" l="1"/>
  <c r="K17" i="3"/>
  <c r="A10" i="1"/>
  <c r="A10" i="3"/>
  <c r="J11" i="1"/>
  <c r="L12" i="1"/>
  <c r="K16" i="1"/>
  <c r="K11" i="1"/>
  <c r="J12" i="3" a="1"/>
  <c r="J12" i="1" a="1"/>
  <c r="L13" i="1" a="1"/>
  <c r="K12" i="1" a="1"/>
  <c r="J12" i="3" l="1"/>
  <c r="A11" i="3"/>
  <c r="A11" i="1"/>
  <c r="K12" i="1"/>
  <c r="L13" i="1"/>
  <c r="J12" i="1"/>
  <c r="J13" i="3" a="1"/>
  <c r="K13" i="1" a="1"/>
  <c r="J13" i="1" a="1"/>
  <c r="J13" i="3" l="1"/>
  <c r="A12" i="3"/>
  <c r="A12" i="1"/>
  <c r="J13" i="1"/>
  <c r="K13" i="1"/>
  <c r="J14" i="3" a="1"/>
  <c r="J14" i="1" a="1"/>
  <c r="J14" i="3" l="1"/>
  <c r="A13" i="3"/>
  <c r="A13" i="1"/>
  <c r="J14" i="1"/>
  <c r="A14" i="1" s="1"/>
  <c r="J15" i="3" a="1"/>
  <c r="J15" i="1" a="1"/>
  <c r="J15" i="3" l="1"/>
  <c r="A14" i="3"/>
  <c r="J15" i="1"/>
  <c r="A15" i="1" s="1"/>
  <c r="J16" i="3" a="1"/>
  <c r="J16" i="1" a="1"/>
  <c r="J16" i="3" l="1"/>
  <c r="A15" i="3"/>
  <c r="J16" i="1"/>
  <c r="A16" i="1" s="1"/>
  <c r="J17" i="3" a="1"/>
  <c r="J17" i="1" a="1"/>
  <c r="J17" i="3" l="1"/>
  <c r="A17" i="3" s="1"/>
  <c r="A16" i="3"/>
  <c r="J17" i="1"/>
  <c r="A1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<sst xmlns="http://schemas.openxmlformats.org/spreadsheetml/2006/main" count="143" uniqueCount="65">
  <si>
    <t>Project</t>
  </si>
  <si>
    <t>Project Manager</t>
  </si>
  <si>
    <t>Requirements Traceability Matrix</t>
  </si>
  <si>
    <t>Contact</t>
  </si>
  <si>
    <t>Date</t>
  </si>
  <si>
    <t>Test Cases</t>
  </si>
  <si>
    <t>Status</t>
  </si>
  <si>
    <t>Comments</t>
  </si>
  <si>
    <t>Arise Wild Thing</t>
  </si>
  <si>
    <t>L1</t>
  </si>
  <si>
    <t>L2</t>
  </si>
  <si>
    <t>L3</t>
  </si>
  <si>
    <t>L4</t>
  </si>
  <si>
    <t>Req#</t>
  </si>
  <si>
    <t>isGroup</t>
  </si>
  <si>
    <t>L5</t>
  </si>
  <si>
    <t>L6</t>
  </si>
  <si>
    <t>Requirement</t>
  </si>
  <si>
    <t>Reason</t>
  </si>
  <si>
    <t>Safety</t>
  </si>
  <si>
    <t>Comfort</t>
  </si>
  <si>
    <t>Price</t>
  </si>
  <si>
    <t>Performance</t>
  </si>
  <si>
    <t>Category</t>
  </si>
  <si>
    <t>Shall</t>
  </si>
  <si>
    <t>Should</t>
  </si>
  <si>
    <t>May</t>
  </si>
  <si>
    <t>Level</t>
  </si>
  <si>
    <t>Be Safe</t>
  </si>
  <si>
    <t>We like people</t>
  </si>
  <si>
    <t>Have no unintended motion</t>
  </si>
  <si>
    <t>Do not hit anybody or anything, or move into dangerous areas</t>
  </si>
  <si>
    <t>TBD</t>
  </si>
  <si>
    <t>Fully Tested</t>
  </si>
  <si>
    <t>Coverage -InProcess</t>
  </si>
  <si>
    <t>Coverage -Coded</t>
  </si>
  <si>
    <t>Title</t>
  </si>
  <si>
    <t>Info</t>
  </si>
  <si>
    <t>Failsafe if signal goes bad</t>
  </si>
  <si>
    <t>Avoid surprises</t>
  </si>
  <si>
    <t>Start in the "OFF" position when switching to new motion input</t>
  </si>
  <si>
    <t>Keep occupant from getting dumped out of chair or jerked around; reduce surprises to operator to make easier to control</t>
  </si>
  <si>
    <t>* Too much limitation can cause delay, hunting, or added confusion</t>
  </si>
  <si>
    <t>Control rate of change of motor speeds</t>
  </si>
  <si>
    <t>Stop if Motion Input is out of range or looks bad for considerable time</t>
  </si>
  <si>
    <t>could be filtered for small noise or held previous for big variance?</t>
  </si>
  <si>
    <t>Func#</t>
  </si>
  <si>
    <t>Connor McGough</t>
  </si>
  <si>
    <t>Not react to noisey signals or extreme inputs</t>
  </si>
  <si>
    <t>Switch between inputs easily and safely</t>
  </si>
  <si>
    <t>Ease of Use</t>
  </si>
  <si>
    <t>Avoid any immediate motion / directional changes</t>
  </si>
  <si>
    <t>Allow user adjustment of "Fast/Slow"modes</t>
  </si>
  <si>
    <t>Speed Pot</t>
  </si>
  <si>
    <t>Priority</t>
  </si>
  <si>
    <t>USR</t>
  </si>
  <si>
    <t>ECM</t>
  </si>
  <si>
    <t>Availability</t>
  </si>
  <si>
    <t>Be accessible to all levels of income</t>
  </si>
  <si>
    <t>Flexibility</t>
  </si>
  <si>
    <t>Purchase from standard sources</t>
  </si>
  <si>
    <t>be able to modify/customize to suit individual needs</t>
  </si>
  <si>
    <t>Distribution</t>
  </si>
  <si>
    <t>have all critical tuning parameters easy to use</t>
  </si>
  <si>
    <t>Be robust to mis-use / entry error of all critical tuning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</si>
</sst>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 wrapText="1"/>
    </xf>
    <xf numFmtId="0" fontId="4" fillId="0" borderId="0" xfId="0" applyFont="1" applyAlignment="1">
      <alignment vertical="top"/>
    </xf>
    <xf numFmtId="0" fontId="4" fillId="0" borderId="0" xfId="0" applyFont="1" applyAlignment="1">
      <alignment horizontal="left" vertical="top"/>
    </xf>
    <xf numFmtId="0" fontId="0" fillId="0" borderId="0" xfId="0" applyAlignment="1">
      <alignment horizontal="center" vertical="top" wrapText="1"/>
    </xf>
    <xf numFmtId="0" fontId="0" fillId="0" borderId="0" xfId="0" quotePrefix="1" applyAlignment="1">
      <alignment vertical="top" wrapText="1"/>
    </xf>
    <xf numFmtId="0" fontId="4" fillId="0" borderId="0" xfId="0" applyFont="1" applyAlignment="1">
      <alignment vertical="top" wrapText="1"/>
    </xf>
    <xf numFmtId="0" fontId="0" fillId="0" borderId="1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14" fontId="0" fillId="0" borderId="1" xfId="0" applyNumberFormat="1" applyBorder="1" applyAlignment="1">
      <alignment horizontal="left" vertical="top"/>
    </xf>
    <xf numFmtId="14" fontId="0" fillId="0" borderId="2" xfId="0" applyNumberFormat="1" applyBorder="1" applyAlignment="1">
      <alignment horizontal="left" vertical="top"/>
    </xf>
    <xf numFmtId="0" fontId="5" fillId="0" borderId="0" xfId="0" applyFont="1" applyAlignment="1">
      <alignment vertical="top"/>
    </xf>
    <xf numFmtId="0" fontId="0" fillId="0" borderId="0" xfId="0" applyNumberFormat="1" applyAlignment="1">
      <alignment vertical="top"/>
    </xf>
  </cellXfs>
  <cellStyles count="1">
    <cellStyle name="Normal" xfId="0" builtinId="0"/>
  </cellStyles>
  <dxfs count="74"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font>
        <color theme="0"/>
      </font>
      <fill>
        <patternFill>
          <bgColor rgb="FF0D97FF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theme="0"/>
      </font>
      <fill>
        <patternFill>
          <bgColor rgb="FF0D97FF"/>
        </patternFill>
      </fill>
    </dxf>
    <dxf>
      <font>
        <color auto="1"/>
      </font>
      <fill>
        <patternFill>
          <bgColor theme="8" tint="0.79998168889431442"/>
        </patternFill>
      </fill>
    </dxf>
    <dxf>
      <numFmt numFmtId="164" formatCode="\&gt;\ \&gt;\ \&gt;\ \&gt;\ \&gt;\ @"/>
    </dxf>
    <dxf>
      <numFmt numFmtId="165" formatCode="\&gt;\ \&gt;\ \&gt;\ \&gt;\ @"/>
    </dxf>
    <dxf>
      <numFmt numFmtId="166" formatCode="\&gt;\ \&gt;\ \&gt;\ @"/>
    </dxf>
    <dxf>
      <numFmt numFmtId="167" formatCode="\&gt;\ \&gt;\ @"/>
    </dxf>
    <dxf>
      <numFmt numFmtId="168" formatCode="\&gt;\ @"/>
    </dxf>
    <dxf>
      <numFmt numFmtId="169" formatCode="\&gt;\ \&gt;\ \&gt;\ \&gt;\ @\ \&gt;"/>
    </dxf>
    <dxf>
      <numFmt numFmtId="170" formatCode="\&gt;\ \&gt;\ \&gt;\ @\ \&gt;"/>
    </dxf>
    <dxf>
      <numFmt numFmtId="171" formatCode="\&gt;\ \&gt;\ @\ \&gt;"/>
    </dxf>
    <dxf>
      <numFmt numFmtId="172" formatCode="\&gt;\ @\ \&gt;"/>
    </dxf>
    <dxf>
      <numFmt numFmtId="173" formatCode="@\ \&gt;"/>
    </dxf>
    <dxf>
      <font>
        <color theme="0"/>
      </font>
      <fill>
        <patternFill>
          <bgColor rgb="FF0D97FF"/>
        </patternFill>
      </fill>
    </dxf>
    <dxf>
      <font>
        <color auto="1"/>
      </font>
      <fill>
        <patternFill>
          <bgColor theme="8" tint="0.79998168889431442"/>
        </patternFill>
      </fill>
    </dxf>
    <dxf>
      <numFmt numFmtId="164" formatCode="\&gt;\ \&gt;\ \&gt;\ \&gt;\ \&gt;\ @"/>
    </dxf>
    <dxf>
      <numFmt numFmtId="165" formatCode="\&gt;\ \&gt;\ \&gt;\ \&gt;\ @"/>
    </dxf>
    <dxf>
      <numFmt numFmtId="166" formatCode="\&gt;\ \&gt;\ \&gt;\ @"/>
    </dxf>
    <dxf>
      <numFmt numFmtId="167" formatCode="\&gt;\ \&gt;\ @"/>
    </dxf>
    <dxf>
      <numFmt numFmtId="168" formatCode="\&gt;\ @"/>
    </dxf>
    <dxf>
      <numFmt numFmtId="169" formatCode="\&gt;\ \&gt;\ \&gt;\ \&gt;\ @\ \&gt;"/>
    </dxf>
    <dxf>
      <numFmt numFmtId="170" formatCode="\&gt;\ \&gt;\ \&gt;\ @\ \&gt;"/>
    </dxf>
    <dxf>
      <numFmt numFmtId="171" formatCode="\&gt;\ \&gt;\ @\ \&gt;"/>
    </dxf>
    <dxf>
      <numFmt numFmtId="172" formatCode="\&gt;\ @\ \&gt;"/>
    </dxf>
    <dxf>
      <numFmt numFmtId="173" formatCode="@\ \&gt;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0" formatCode="General"/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vertical="top" textRotation="0" wrapText="0" indent="0" justifyLastLine="0" shrinkToFit="0" readingOrder="0"/>
    </dxf>
    <dxf>
      <numFmt numFmtId="0" formatCode="General"/>
      <alignment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0D9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5</xdr:row>
      <xdr:rowOff>23813</xdr:rowOff>
    </xdr:from>
    <xdr:to>
      <xdr:col>0</xdr:col>
      <xdr:colOff>304800</xdr:colOff>
      <xdr:row>5</xdr:row>
      <xdr:rowOff>147638</xdr:rowOff>
    </xdr:to>
    <xdr:sp macro="[0]!Outdent" textlink="">
      <xdr:nvSpPr>
        <xdr:cNvPr id="2" name="Arrow: Left 1">
          <a:extLst>
            <a:ext uri="{FF2B5EF4-FFF2-40B4-BE49-F238E27FC236}">
              <a16:creationId xmlns:a16="http://schemas.microsoft.com/office/drawing/2014/main" id="{B0C3E389-54DE-38CA-50BE-F814FEB96084}"/>
            </a:ext>
          </a:extLst>
        </xdr:cNvPr>
        <xdr:cNvSpPr/>
      </xdr:nvSpPr>
      <xdr:spPr>
        <a:xfrm>
          <a:off x="95250" y="1147763"/>
          <a:ext cx="209550" cy="12382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447675</xdr:colOff>
      <xdr:row>5</xdr:row>
      <xdr:rowOff>23813</xdr:rowOff>
    </xdr:from>
    <xdr:to>
      <xdr:col>0</xdr:col>
      <xdr:colOff>657225</xdr:colOff>
      <xdr:row>5</xdr:row>
      <xdr:rowOff>147638</xdr:rowOff>
    </xdr:to>
    <xdr:sp macro="[0]!Indent" textlink="">
      <xdr:nvSpPr>
        <xdr:cNvPr id="3" name="Arrow: Left 2">
          <a:extLst>
            <a:ext uri="{FF2B5EF4-FFF2-40B4-BE49-F238E27FC236}">
              <a16:creationId xmlns:a16="http://schemas.microsoft.com/office/drawing/2014/main" id="{BF1E354A-F870-438E-AF92-E3C893F119CE}"/>
            </a:ext>
          </a:extLst>
        </xdr:cNvPr>
        <xdr:cNvSpPr/>
      </xdr:nvSpPr>
      <xdr:spPr>
        <a:xfrm flipH="1">
          <a:off x="447675" y="1147763"/>
          <a:ext cx="209550" cy="12382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5</xdr:row>
      <xdr:rowOff>23813</xdr:rowOff>
    </xdr:from>
    <xdr:to>
      <xdr:col>0</xdr:col>
      <xdr:colOff>304800</xdr:colOff>
      <xdr:row>5</xdr:row>
      <xdr:rowOff>147638</xdr:rowOff>
    </xdr:to>
    <xdr:sp macro="[0]!Outdent" textlink="">
      <xdr:nvSpPr>
        <xdr:cNvPr id="2" name="Arrow: Left 1">
          <a:extLst>
            <a:ext uri="{FF2B5EF4-FFF2-40B4-BE49-F238E27FC236}">
              <a16:creationId xmlns:a16="http://schemas.microsoft.com/office/drawing/2014/main" id="{0A2A9D49-B600-44EE-806D-8E0AD8C13DAF}"/>
            </a:ext>
          </a:extLst>
        </xdr:cNvPr>
        <xdr:cNvSpPr/>
      </xdr:nvSpPr>
      <xdr:spPr>
        <a:xfrm>
          <a:off x="95250" y="1147763"/>
          <a:ext cx="209550" cy="12382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447675</xdr:colOff>
      <xdr:row>5</xdr:row>
      <xdr:rowOff>23813</xdr:rowOff>
    </xdr:from>
    <xdr:to>
      <xdr:col>0</xdr:col>
      <xdr:colOff>657225</xdr:colOff>
      <xdr:row>5</xdr:row>
      <xdr:rowOff>147638</xdr:rowOff>
    </xdr:to>
    <xdr:sp macro="[0]!Indent" textlink="">
      <xdr:nvSpPr>
        <xdr:cNvPr id="3" name="Arrow: Left 2">
          <a:extLst>
            <a:ext uri="{FF2B5EF4-FFF2-40B4-BE49-F238E27FC236}">
              <a16:creationId xmlns:a16="http://schemas.microsoft.com/office/drawing/2014/main" id="{F1CD8A55-0056-4B72-9297-F02603597011}"/>
            </a:ext>
          </a:extLst>
        </xdr:cNvPr>
        <xdr:cNvSpPr/>
      </xdr:nvSpPr>
      <xdr:spPr>
        <a:xfrm flipH="1">
          <a:off x="447675" y="1147763"/>
          <a:ext cx="209550" cy="12382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400051</xdr:colOff>
      <xdr:row>0</xdr:row>
      <xdr:rowOff>156883</xdr:rowOff>
    </xdr:from>
    <xdr:to>
      <xdr:col>31</xdr:col>
      <xdr:colOff>291353</xdr:colOff>
      <xdr:row>36</xdr:row>
      <xdr:rowOff>56035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1CBE1FC8-9F2D-41F6-B67D-C0F65C1BFE4B}"/>
            </a:ext>
          </a:extLst>
        </xdr:cNvPr>
        <xdr:cNvSpPr/>
      </xdr:nvSpPr>
      <xdr:spPr>
        <a:xfrm>
          <a:off x="2820522" y="156883"/>
          <a:ext cx="16229478" cy="6757152"/>
        </a:xfrm>
        <a:prstGeom prst="roundRect">
          <a:avLst>
            <a:gd name="adj" fmla="val 2883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SOFTWARE</a:t>
          </a:r>
        </a:p>
      </xdr:txBody>
    </xdr:sp>
    <xdr:clientData/>
  </xdr:twoCellAnchor>
  <xdr:twoCellAnchor>
    <xdr:from>
      <xdr:col>5</xdr:col>
      <xdr:colOff>100851</xdr:colOff>
      <xdr:row>2</xdr:row>
      <xdr:rowOff>123265</xdr:rowOff>
    </xdr:from>
    <xdr:to>
      <xdr:col>7</xdr:col>
      <xdr:colOff>22409</xdr:colOff>
      <xdr:row>35</xdr:row>
      <xdr:rowOff>11211</xdr:rowOff>
    </xdr:to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218F8116-F633-49E5-8E40-FD7F9399B015}"/>
            </a:ext>
          </a:extLst>
        </xdr:cNvPr>
        <xdr:cNvSpPr/>
      </xdr:nvSpPr>
      <xdr:spPr>
        <a:xfrm>
          <a:off x="3126439" y="504265"/>
          <a:ext cx="1131794" cy="6174446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PROTECTION</a:t>
          </a:r>
          <a:r>
            <a:rPr lang="en-US" sz="1100" baseline="0">
              <a:solidFill>
                <a:sysClr val="windowText" lastClr="000000"/>
              </a:solidFill>
            </a:rPr>
            <a:t> LAYER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553567</xdr:colOff>
      <xdr:row>2</xdr:row>
      <xdr:rowOff>123265</xdr:rowOff>
    </xdr:from>
    <xdr:to>
      <xdr:col>9</xdr:col>
      <xdr:colOff>477367</xdr:colOff>
      <xdr:row>35</xdr:row>
      <xdr:rowOff>51552</xdr:rowOff>
    </xdr:to>
    <xdr:sp macro="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7DA4B7D6-6E60-4AEE-89F9-44E3FFA108FE}"/>
            </a:ext>
          </a:extLst>
        </xdr:cNvPr>
        <xdr:cNvSpPr/>
      </xdr:nvSpPr>
      <xdr:spPr>
        <a:xfrm>
          <a:off x="4789391" y="504265"/>
          <a:ext cx="1134035" cy="6214787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CONVERSION LAYER</a:t>
          </a:r>
        </a:p>
      </xdr:txBody>
    </xdr:sp>
    <xdr:clientData/>
  </xdr:twoCellAnchor>
  <xdr:twoCellAnchor>
    <xdr:from>
      <xdr:col>0</xdr:col>
      <xdr:colOff>457201</xdr:colOff>
      <xdr:row>0</xdr:row>
      <xdr:rowOff>156882</xdr:rowOff>
    </xdr:from>
    <xdr:to>
      <xdr:col>4</xdr:col>
      <xdr:colOff>114300</xdr:colOff>
      <xdr:row>36</xdr:row>
      <xdr:rowOff>76765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09A4ADB-1F40-33F7-A10B-2FF3B167D952}"/>
            </a:ext>
          </a:extLst>
        </xdr:cNvPr>
        <xdr:cNvSpPr/>
      </xdr:nvSpPr>
      <xdr:spPr>
        <a:xfrm>
          <a:off x="457201" y="156882"/>
          <a:ext cx="2077570" cy="6777883"/>
        </a:xfrm>
        <a:prstGeom prst="roundRect">
          <a:avLst>
            <a:gd name="adj" fmla="val 7683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HW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INPUTS</a:t>
          </a:r>
        </a:p>
      </xdr:txBody>
    </xdr:sp>
    <xdr:clientData/>
  </xdr:twoCellAnchor>
  <xdr:twoCellAnchor>
    <xdr:from>
      <xdr:col>31</xdr:col>
      <xdr:colOff>515470</xdr:colOff>
      <xdr:row>5</xdr:row>
      <xdr:rowOff>48190</xdr:rowOff>
    </xdr:from>
    <xdr:to>
      <xdr:col>33</xdr:col>
      <xdr:colOff>563095</xdr:colOff>
      <xdr:row>31</xdr:row>
      <xdr:rowOff>133915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025DB51-D395-F96F-1EC1-85C35F5CB3B7}"/>
            </a:ext>
          </a:extLst>
        </xdr:cNvPr>
        <xdr:cNvSpPr/>
      </xdr:nvSpPr>
      <xdr:spPr>
        <a:xfrm>
          <a:off x="19274117" y="1000690"/>
          <a:ext cx="1257860" cy="503872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HW OUTPUTS</a:t>
          </a:r>
        </a:p>
      </xdr:txBody>
    </xdr:sp>
    <xdr:clientData/>
  </xdr:twoCellAnchor>
  <xdr:twoCellAnchor>
    <xdr:from>
      <xdr:col>1</xdr:col>
      <xdr:colOff>57149</xdr:colOff>
      <xdr:row>4</xdr:row>
      <xdr:rowOff>133916</xdr:rowOff>
    </xdr:from>
    <xdr:to>
      <xdr:col>4</xdr:col>
      <xdr:colOff>19051</xdr:colOff>
      <xdr:row>20</xdr:row>
      <xdr:rowOff>114866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DFAF646-B8F4-4819-AB2A-C904F37D15F4}"/>
            </a:ext>
          </a:extLst>
        </xdr:cNvPr>
        <xdr:cNvSpPr/>
      </xdr:nvSpPr>
      <xdr:spPr>
        <a:xfrm>
          <a:off x="662267" y="895916"/>
          <a:ext cx="1777255" cy="3028950"/>
        </a:xfrm>
        <a:prstGeom prst="roundRect">
          <a:avLst>
            <a:gd name="adj" fmla="val 5648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ANALOG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66673</xdr:colOff>
      <xdr:row>27</xdr:row>
      <xdr:rowOff>57715</xdr:rowOff>
    </xdr:from>
    <xdr:to>
      <xdr:col>3</xdr:col>
      <xdr:colOff>561975</xdr:colOff>
      <xdr:row>35</xdr:row>
      <xdr:rowOff>181538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A395B0A-720D-4AFD-B722-356637FDB1CF}"/>
            </a:ext>
          </a:extLst>
        </xdr:cNvPr>
        <xdr:cNvSpPr/>
      </xdr:nvSpPr>
      <xdr:spPr>
        <a:xfrm>
          <a:off x="671791" y="5201215"/>
          <a:ext cx="1705537" cy="1647823"/>
        </a:xfrm>
        <a:prstGeom prst="roundRect">
          <a:avLst>
            <a:gd name="adj" fmla="val 6039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DIGITAL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24</xdr:col>
      <xdr:colOff>239805</xdr:colOff>
      <xdr:row>7</xdr:row>
      <xdr:rowOff>29140</xdr:rowOff>
    </xdr:from>
    <xdr:to>
      <xdr:col>28</xdr:col>
      <xdr:colOff>351384</xdr:colOff>
      <xdr:row>20</xdr:row>
      <xdr:rowOff>31941</xdr:rowOff>
    </xdr:to>
    <xdr:sp macro="" textlink="">
      <xdr:nvSpPr>
        <xdr:cNvPr id="209" name="Rectangle: Rounded Corners 208">
          <a:extLst>
            <a:ext uri="{FF2B5EF4-FFF2-40B4-BE49-F238E27FC236}">
              <a16:creationId xmlns:a16="http://schemas.microsoft.com/office/drawing/2014/main" id="{AAF6EC46-1469-4898-9F34-322687EE3D2E}"/>
            </a:ext>
          </a:extLst>
        </xdr:cNvPr>
        <xdr:cNvSpPr/>
      </xdr:nvSpPr>
      <xdr:spPr>
        <a:xfrm>
          <a:off x="14762629" y="1362640"/>
          <a:ext cx="2532049" cy="2479301"/>
        </a:xfrm>
        <a:prstGeom prst="roundRect">
          <a:avLst>
            <a:gd name="adj" fmla="val 5073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STATEMACHINE LEFT</a:t>
          </a:r>
        </a:p>
        <a:p>
          <a:pPr algn="l"/>
          <a:r>
            <a:rPr 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with ZeroCrossing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149545</xdr:colOff>
      <xdr:row>22</xdr:row>
      <xdr:rowOff>43400</xdr:rowOff>
    </xdr:from>
    <xdr:to>
      <xdr:col>25</xdr:col>
      <xdr:colOff>192181</xdr:colOff>
      <xdr:row>35</xdr:row>
      <xdr:rowOff>87974</xdr:rowOff>
    </xdr:to>
    <xdr:sp macro="" textlink="">
      <xdr:nvSpPr>
        <xdr:cNvPr id="229" name="Rectangle: Rounded Corners 228">
          <a:extLst>
            <a:ext uri="{FF2B5EF4-FFF2-40B4-BE49-F238E27FC236}">
              <a16:creationId xmlns:a16="http://schemas.microsoft.com/office/drawing/2014/main" id="{FC00A95D-6BF6-4202-86DB-CE186739198A}"/>
            </a:ext>
          </a:extLst>
        </xdr:cNvPr>
        <xdr:cNvSpPr/>
      </xdr:nvSpPr>
      <xdr:spPr>
        <a:xfrm>
          <a:off x="13462133" y="4234400"/>
          <a:ext cx="1857989" cy="2521074"/>
        </a:xfrm>
        <a:prstGeom prst="roundRect">
          <a:avLst>
            <a:gd name="adj" fmla="val 5073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STATEMACHINE RIGHT</a:t>
          </a:r>
        </a:p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with ZeroCrossing </a:t>
          </a:r>
        </a:p>
      </xdr:txBody>
    </xdr:sp>
    <xdr:clientData/>
  </xdr:twoCellAnchor>
  <xdr:twoCellAnchor>
    <xdr:from>
      <xdr:col>1</xdr:col>
      <xdr:colOff>114298</xdr:colOff>
      <xdr:row>22</xdr:row>
      <xdr:rowOff>10090</xdr:rowOff>
    </xdr:from>
    <xdr:to>
      <xdr:col>3</xdr:col>
      <xdr:colOff>590550</xdr:colOff>
      <xdr:row>26</xdr:row>
      <xdr:rowOff>565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60B88368-BCB2-4668-A08D-0798789617D7}"/>
            </a:ext>
          </a:extLst>
        </xdr:cNvPr>
        <xdr:cNvSpPr/>
      </xdr:nvSpPr>
      <xdr:spPr>
        <a:xfrm>
          <a:off x="719416" y="4201090"/>
          <a:ext cx="1686487" cy="752475"/>
        </a:xfrm>
        <a:prstGeom prst="roundRect">
          <a:avLst>
            <a:gd name="adj" fmla="val 6039"/>
          </a:avLst>
        </a:prstGeom>
        <a:solidFill>
          <a:schemeClr val="bg1"/>
        </a:solidFill>
        <a:ln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COM</a:t>
          </a:r>
        </a:p>
      </xdr:txBody>
    </xdr:sp>
    <xdr:clientData/>
  </xdr:twoCellAnchor>
  <xdr:twoCellAnchor>
    <xdr:from>
      <xdr:col>1</xdr:col>
      <xdr:colOff>533400</xdr:colOff>
      <xdr:row>12</xdr:row>
      <xdr:rowOff>19614</xdr:rowOff>
    </xdr:from>
    <xdr:to>
      <xdr:col>3</xdr:col>
      <xdr:colOff>533400</xdr:colOff>
      <xdr:row>20</xdr:row>
      <xdr:rowOff>57715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F929357-DB97-4CCF-9486-C0969ACD8E58}"/>
            </a:ext>
          </a:extLst>
        </xdr:cNvPr>
        <xdr:cNvSpPr/>
      </xdr:nvSpPr>
      <xdr:spPr>
        <a:xfrm>
          <a:off x="1138518" y="2305614"/>
          <a:ext cx="1210235" cy="1562101"/>
        </a:xfrm>
        <a:prstGeom prst="roundRect">
          <a:avLst>
            <a:gd name="adj" fmla="val 7521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JOYSTICKS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142875</xdr:colOff>
      <xdr:row>13</xdr:row>
      <xdr:rowOff>124390</xdr:rowOff>
    </xdr:from>
    <xdr:to>
      <xdr:col>3</xdr:col>
      <xdr:colOff>400051</xdr:colOff>
      <xdr:row>15</xdr:row>
      <xdr:rowOff>172015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C37302A-E067-47CC-881C-0886FB5E83A7}"/>
            </a:ext>
          </a:extLst>
        </xdr:cNvPr>
        <xdr:cNvSpPr/>
      </xdr:nvSpPr>
      <xdr:spPr>
        <a:xfrm>
          <a:off x="1353110" y="2600890"/>
          <a:ext cx="862294" cy="42862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ONBOARD</a:t>
          </a:r>
        </a:p>
      </xdr:txBody>
    </xdr:sp>
    <xdr:clientData/>
  </xdr:twoCellAnchor>
  <xdr:twoCellAnchor>
    <xdr:from>
      <xdr:col>2</xdr:col>
      <xdr:colOff>142875</xdr:colOff>
      <xdr:row>17</xdr:row>
      <xdr:rowOff>133915</xdr:rowOff>
    </xdr:from>
    <xdr:to>
      <xdr:col>3</xdr:col>
      <xdr:colOff>419101</xdr:colOff>
      <xdr:row>19</xdr:row>
      <xdr:rowOff>181540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15B7FE0-246E-4428-A8D3-8B9E50A265C9}"/>
            </a:ext>
          </a:extLst>
        </xdr:cNvPr>
        <xdr:cNvSpPr/>
      </xdr:nvSpPr>
      <xdr:spPr>
        <a:xfrm>
          <a:off x="1353110" y="3372415"/>
          <a:ext cx="881344" cy="42862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TETHER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142875</xdr:colOff>
      <xdr:row>9</xdr:row>
      <xdr:rowOff>80127</xdr:rowOff>
    </xdr:from>
    <xdr:to>
      <xdr:col>3</xdr:col>
      <xdr:colOff>414618</xdr:colOff>
      <xdr:row>11</xdr:row>
      <xdr:rowOff>56034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2976D7FB-34EF-4A4C-811A-D4B67E3C9EC0}"/>
            </a:ext>
          </a:extLst>
        </xdr:cNvPr>
        <xdr:cNvSpPr/>
      </xdr:nvSpPr>
      <xdr:spPr>
        <a:xfrm>
          <a:off x="1353110" y="1794627"/>
          <a:ext cx="876861" cy="356907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SPEED POT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142875</xdr:colOff>
      <xdr:row>28</xdr:row>
      <xdr:rowOff>19615</xdr:rowOff>
    </xdr:from>
    <xdr:to>
      <xdr:col>3</xdr:col>
      <xdr:colOff>400051</xdr:colOff>
      <xdr:row>29</xdr:row>
      <xdr:rowOff>124390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55480C2B-E718-4991-906A-AC170E0546E3}"/>
            </a:ext>
          </a:extLst>
        </xdr:cNvPr>
        <xdr:cNvSpPr/>
      </xdr:nvSpPr>
      <xdr:spPr>
        <a:xfrm>
          <a:off x="1353110" y="5353615"/>
          <a:ext cx="862294" cy="29527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JOY SELECT</a:t>
          </a:r>
        </a:p>
      </xdr:txBody>
    </xdr:sp>
    <xdr:clientData/>
  </xdr:twoCellAnchor>
  <xdr:twoCellAnchor>
    <xdr:from>
      <xdr:col>2</xdr:col>
      <xdr:colOff>142875</xdr:colOff>
      <xdr:row>29</xdr:row>
      <xdr:rowOff>176777</xdr:rowOff>
    </xdr:from>
    <xdr:to>
      <xdr:col>3</xdr:col>
      <xdr:colOff>400051</xdr:colOff>
      <xdr:row>32</xdr:row>
      <xdr:rowOff>119627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FB6E2342-D605-431C-9DF4-D9289DC2CC5E}"/>
            </a:ext>
          </a:extLst>
        </xdr:cNvPr>
        <xdr:cNvSpPr/>
      </xdr:nvSpPr>
      <xdr:spPr>
        <a:xfrm>
          <a:off x="1353110" y="5701277"/>
          <a:ext cx="862294" cy="514350"/>
        </a:xfrm>
        <a:prstGeom prst="roundRect">
          <a:avLst/>
        </a:prstGeom>
        <a:solidFill>
          <a:schemeClr val="bg1"/>
        </a:solidFill>
        <a:ln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ONBOARD</a:t>
          </a:r>
          <a:endParaRPr lang="en-US" sz="1100" baseline="0">
            <a:solidFill>
              <a:sysClr val="windowText" lastClr="000000"/>
            </a:solidFill>
          </a:endParaRPr>
        </a:p>
        <a:p>
          <a:pPr algn="l"/>
          <a:r>
            <a:rPr lang="en-US" sz="1100" baseline="0">
              <a:solidFill>
                <a:sysClr val="windowText" lastClr="000000"/>
              </a:solidFill>
            </a:rPr>
            <a:t>BUTTON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142875</xdr:colOff>
      <xdr:row>32</xdr:row>
      <xdr:rowOff>172015</xdr:rowOff>
    </xdr:from>
    <xdr:to>
      <xdr:col>3</xdr:col>
      <xdr:colOff>400051</xdr:colOff>
      <xdr:row>35</xdr:row>
      <xdr:rowOff>114865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5D8540FA-9E7C-4770-BA45-9801E87BB137}"/>
            </a:ext>
          </a:extLst>
        </xdr:cNvPr>
        <xdr:cNvSpPr/>
      </xdr:nvSpPr>
      <xdr:spPr>
        <a:xfrm>
          <a:off x="1353110" y="6268015"/>
          <a:ext cx="862294" cy="514350"/>
        </a:xfrm>
        <a:prstGeom prst="roundRect">
          <a:avLst/>
        </a:prstGeom>
        <a:solidFill>
          <a:schemeClr val="bg1"/>
        </a:solidFill>
        <a:ln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TETHER</a:t>
          </a:r>
          <a:endParaRPr lang="en-US" sz="1100" baseline="0">
            <a:solidFill>
              <a:sysClr val="windowText" lastClr="000000"/>
            </a:solidFill>
          </a:endParaRPr>
        </a:p>
        <a:p>
          <a:pPr algn="l"/>
          <a:r>
            <a:rPr lang="en-US" sz="1100" baseline="0">
              <a:solidFill>
                <a:sysClr val="windowText" lastClr="000000"/>
              </a:solidFill>
            </a:rPr>
            <a:t>BUTTON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32</xdr:col>
      <xdr:colOff>110377</xdr:colOff>
      <xdr:row>7</xdr:row>
      <xdr:rowOff>114866</xdr:rowOff>
    </xdr:from>
    <xdr:to>
      <xdr:col>33</xdr:col>
      <xdr:colOff>363071</xdr:colOff>
      <xdr:row>10</xdr:row>
      <xdr:rowOff>95816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104F8E5C-EDCF-4F8F-A908-87AA603B88A1}"/>
            </a:ext>
          </a:extLst>
        </xdr:cNvPr>
        <xdr:cNvSpPr/>
      </xdr:nvSpPr>
      <xdr:spPr>
        <a:xfrm>
          <a:off x="19474142" y="1448366"/>
          <a:ext cx="857811" cy="5524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MOTOR LEFT</a:t>
          </a:r>
        </a:p>
      </xdr:txBody>
    </xdr:sp>
    <xdr:clientData/>
  </xdr:twoCellAnchor>
  <xdr:twoCellAnchor>
    <xdr:from>
      <xdr:col>32</xdr:col>
      <xdr:colOff>110377</xdr:colOff>
      <xdr:row>10</xdr:row>
      <xdr:rowOff>162490</xdr:rowOff>
    </xdr:from>
    <xdr:to>
      <xdr:col>33</xdr:col>
      <xdr:colOff>382121</xdr:colOff>
      <xdr:row>13</xdr:row>
      <xdr:rowOff>105340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5AC70F27-7B20-4203-BDE9-A0D4A78B0E8D}"/>
            </a:ext>
          </a:extLst>
        </xdr:cNvPr>
        <xdr:cNvSpPr/>
      </xdr:nvSpPr>
      <xdr:spPr>
        <a:xfrm>
          <a:off x="19474142" y="2067490"/>
          <a:ext cx="876861" cy="5143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MOTOR RIGHT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28</xdr:col>
      <xdr:colOff>549088</xdr:colOff>
      <xdr:row>3</xdr:row>
      <xdr:rowOff>156887</xdr:rowOff>
    </xdr:from>
    <xdr:to>
      <xdr:col>31</xdr:col>
      <xdr:colOff>134471</xdr:colOff>
      <xdr:row>35</xdr:row>
      <xdr:rowOff>86290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2B2F7A8E-9D27-454B-A850-BB981B4D0A90}"/>
            </a:ext>
          </a:extLst>
        </xdr:cNvPr>
        <xdr:cNvSpPr/>
      </xdr:nvSpPr>
      <xdr:spPr>
        <a:xfrm>
          <a:off x="17492382" y="728387"/>
          <a:ext cx="1400736" cy="6025403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OUTPUT LAYER</a:t>
          </a:r>
        </a:p>
      </xdr:txBody>
    </xdr:sp>
    <xdr:clientData/>
  </xdr:twoCellAnchor>
  <xdr:twoCellAnchor>
    <xdr:from>
      <xdr:col>5</xdr:col>
      <xdr:colOff>30256</xdr:colOff>
      <xdr:row>12</xdr:row>
      <xdr:rowOff>172015</xdr:rowOff>
    </xdr:from>
    <xdr:to>
      <xdr:col>7</xdr:col>
      <xdr:colOff>192181</xdr:colOff>
      <xdr:row>16</xdr:row>
      <xdr:rowOff>124390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3A7EAACA-2C37-4FFC-85F3-626C6ED944B0}"/>
            </a:ext>
          </a:extLst>
        </xdr:cNvPr>
        <xdr:cNvSpPr/>
      </xdr:nvSpPr>
      <xdr:spPr>
        <a:xfrm>
          <a:off x="3055844" y="2458015"/>
          <a:ext cx="1372161" cy="71437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Filter, Diag, Initialize &amp;</a:t>
          </a:r>
          <a:r>
            <a:rPr lang="en-US" sz="1100" baseline="0">
              <a:solidFill>
                <a:sysClr val="windowText" lastClr="000000"/>
              </a:solidFill>
            </a:rPr>
            <a:t> Center (failsafe to Center)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478491</xdr:colOff>
      <xdr:row>12</xdr:row>
      <xdr:rowOff>181540</xdr:rowOff>
    </xdr:from>
    <xdr:to>
      <xdr:col>9</xdr:col>
      <xdr:colOff>535641</xdr:colOff>
      <xdr:row>16</xdr:row>
      <xdr:rowOff>114865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BB300E42-3B49-44D5-A823-7C6B03D9012A}"/>
            </a:ext>
          </a:extLst>
        </xdr:cNvPr>
        <xdr:cNvSpPr/>
      </xdr:nvSpPr>
      <xdr:spPr>
        <a:xfrm>
          <a:off x="4714315" y="2467540"/>
          <a:ext cx="1267385" cy="69532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Cartesian (XY) to Polar Coordinates (AR)</a:t>
          </a:r>
        </a:p>
      </xdr:txBody>
    </xdr:sp>
    <xdr:clientData/>
  </xdr:twoCellAnchor>
  <xdr:twoCellAnchor>
    <xdr:from>
      <xdr:col>3</xdr:col>
      <xdr:colOff>400051</xdr:colOff>
      <xdr:row>14</xdr:row>
      <xdr:rowOff>148203</xdr:rowOff>
    </xdr:from>
    <xdr:to>
      <xdr:col>5</xdr:col>
      <xdr:colOff>30256</xdr:colOff>
      <xdr:row>14</xdr:row>
      <xdr:rowOff>148203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3003DB4D-5DC1-2F18-E166-6B7686BC5BF8}"/>
            </a:ext>
          </a:extLst>
        </xdr:cNvPr>
        <xdr:cNvCxnSpPr>
          <a:stCxn id="4" idx="3"/>
          <a:endCxn id="18" idx="1"/>
        </xdr:cNvCxnSpPr>
      </xdr:nvCxnSpPr>
      <xdr:spPr>
        <a:xfrm>
          <a:off x="2215404" y="2815203"/>
          <a:ext cx="84044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419101</xdr:colOff>
      <xdr:row>18</xdr:row>
      <xdr:rowOff>157728</xdr:rowOff>
    </xdr:from>
    <xdr:to>
      <xdr:col>4</xdr:col>
      <xdr:colOff>590550</xdr:colOff>
      <xdr:row>18</xdr:row>
      <xdr:rowOff>167253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4963AB69-70AD-4261-AAA1-CD8612D3B259}"/>
            </a:ext>
          </a:extLst>
        </xdr:cNvPr>
        <xdr:cNvCxnSpPr>
          <a:cxnSpLocks/>
          <a:stCxn id="5" idx="3"/>
          <a:endCxn id="206" idx="1"/>
        </xdr:cNvCxnSpPr>
      </xdr:nvCxnSpPr>
      <xdr:spPr>
        <a:xfrm>
          <a:off x="2234454" y="3586728"/>
          <a:ext cx="776567" cy="9525"/>
        </a:xfrm>
        <a:prstGeom prst="straightConnector1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287430</xdr:colOff>
      <xdr:row>12</xdr:row>
      <xdr:rowOff>172015</xdr:rowOff>
    </xdr:from>
    <xdr:to>
      <xdr:col>19</xdr:col>
      <xdr:colOff>549649</xdr:colOff>
      <xdr:row>18</xdr:row>
      <xdr:rowOff>172014</xdr:rowOff>
    </xdr:to>
    <xdr:sp macro="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3756F0D0-D28C-4414-A40B-8E724521EEAC}"/>
            </a:ext>
          </a:extLst>
        </xdr:cNvPr>
        <xdr:cNvSpPr/>
      </xdr:nvSpPr>
      <xdr:spPr>
        <a:xfrm>
          <a:off x="11179548" y="2458015"/>
          <a:ext cx="867336" cy="1142999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Polar</a:t>
          </a:r>
          <a:r>
            <a:rPr lang="en-US" sz="1100" baseline="0">
              <a:solidFill>
                <a:sysClr val="windowText" lastClr="000000"/>
              </a:solidFill>
            </a:rPr>
            <a:t> (AR) to Mix mixL/mixR</a:t>
          </a:r>
        </a:p>
        <a:p>
          <a:pPr algn="l"/>
          <a:r>
            <a:rPr lang="en-US" sz="1100" baseline="0">
              <a:solidFill>
                <a:sysClr val="windowText" lastClr="000000"/>
              </a:solidFill>
            </a:rPr>
            <a:t>and</a:t>
          </a:r>
        </a:p>
        <a:p>
          <a:pPr algn="l"/>
          <a:r>
            <a:rPr lang="en-US" sz="1100" baseline="0">
              <a:solidFill>
                <a:sysClr val="windowText" lastClr="000000"/>
              </a:solidFill>
            </a:rPr>
            <a:t>Scale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496417</xdr:colOff>
      <xdr:row>9</xdr:row>
      <xdr:rowOff>19615</xdr:rowOff>
    </xdr:from>
    <xdr:to>
      <xdr:col>10</xdr:col>
      <xdr:colOff>9524</xdr:colOff>
      <xdr:row>11</xdr:row>
      <xdr:rowOff>124391</xdr:rowOff>
    </xdr:to>
    <xdr:sp macro="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00175CA4-2623-4E6F-A86B-4EAEE2940E52}"/>
            </a:ext>
          </a:extLst>
        </xdr:cNvPr>
        <xdr:cNvSpPr/>
      </xdr:nvSpPr>
      <xdr:spPr>
        <a:xfrm>
          <a:off x="4732241" y="1734115"/>
          <a:ext cx="1328459" cy="485776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POT</a:t>
          </a:r>
          <a:r>
            <a:rPr lang="en-US" sz="1100" baseline="0">
              <a:solidFill>
                <a:sysClr val="windowText" lastClr="000000"/>
              </a:solidFill>
            </a:rPr>
            <a:t> to PotScale (failsafe to SLOW)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597272</xdr:colOff>
      <xdr:row>11</xdr:row>
      <xdr:rowOff>67240</xdr:rowOff>
    </xdr:from>
    <xdr:to>
      <xdr:col>16</xdr:col>
      <xdr:colOff>597274</xdr:colOff>
      <xdr:row>20</xdr:row>
      <xdr:rowOff>95815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F97807B0-ABA1-4AE7-8B69-9459B39FEA60}"/>
            </a:ext>
          </a:extLst>
        </xdr:cNvPr>
        <xdr:cNvSpPr/>
      </xdr:nvSpPr>
      <xdr:spPr>
        <a:xfrm>
          <a:off x="9068919" y="2162740"/>
          <a:ext cx="1210237" cy="1743075"/>
        </a:xfrm>
        <a:prstGeom prst="roundRect">
          <a:avLst>
            <a:gd name="adj" fmla="val 9033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SELECT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(or blend?)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with "healthcheck"</a:t>
          </a:r>
          <a:r>
            <a:rPr lang="en-US" sz="1100" baseline="0">
              <a:solidFill>
                <a:sysClr val="windowText" lastClr="000000"/>
              </a:solidFill>
            </a:rPr>
            <a:t> protection</a:t>
          </a:r>
          <a:endParaRPr lang="en-US" sz="1100">
            <a:solidFill>
              <a:sysClr val="windowText" lastClr="000000"/>
            </a:solidFill>
          </a:endParaRP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Failsafe to NONE (OFF)</a:t>
          </a:r>
        </a:p>
      </xdr:txBody>
    </xdr:sp>
    <xdr:clientData/>
  </xdr:twoCellAnchor>
  <xdr:twoCellAnchor>
    <xdr:from>
      <xdr:col>3</xdr:col>
      <xdr:colOff>414618</xdr:colOff>
      <xdr:row>10</xdr:row>
      <xdr:rowOff>68081</xdr:rowOff>
    </xdr:from>
    <xdr:to>
      <xdr:col>7</xdr:col>
      <xdr:colOff>496417</xdr:colOff>
      <xdr:row>10</xdr:row>
      <xdr:rowOff>72003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C800E007-7516-4A24-BA4D-4F10915672EA}"/>
            </a:ext>
          </a:extLst>
        </xdr:cNvPr>
        <xdr:cNvCxnSpPr>
          <a:cxnSpLocks/>
          <a:stCxn id="8" idx="3"/>
          <a:endCxn id="31" idx="1"/>
        </xdr:cNvCxnSpPr>
      </xdr:nvCxnSpPr>
      <xdr:spPr>
        <a:xfrm>
          <a:off x="2229971" y="1973081"/>
          <a:ext cx="2502270" cy="392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192181</xdr:colOff>
      <xdr:row>14</xdr:row>
      <xdr:rowOff>148203</xdr:rowOff>
    </xdr:from>
    <xdr:to>
      <xdr:col>7</xdr:col>
      <xdr:colOff>478491</xdr:colOff>
      <xdr:row>14</xdr:row>
      <xdr:rowOff>148203</xdr:rowOff>
    </xdr:to>
    <xdr:cxnSp macro="">
      <xdr:nvCxnSpPr>
        <xdr:cNvPr id="67" name="Straight Arrow Connector 66">
          <a:extLst>
            <a:ext uri="{FF2B5EF4-FFF2-40B4-BE49-F238E27FC236}">
              <a16:creationId xmlns:a16="http://schemas.microsoft.com/office/drawing/2014/main" id="{C59E7E12-8389-4EAB-A480-EE105A0A6D79}"/>
            </a:ext>
          </a:extLst>
        </xdr:cNvPr>
        <xdr:cNvCxnSpPr>
          <a:stCxn id="18" idx="3"/>
          <a:endCxn id="20" idx="1"/>
        </xdr:cNvCxnSpPr>
      </xdr:nvCxnSpPr>
      <xdr:spPr>
        <a:xfrm>
          <a:off x="4428005" y="2815203"/>
          <a:ext cx="28631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580464</xdr:colOff>
      <xdr:row>15</xdr:row>
      <xdr:rowOff>176778</xdr:rowOff>
    </xdr:from>
    <xdr:to>
      <xdr:col>14</xdr:col>
      <xdr:colOff>597272</xdr:colOff>
      <xdr:row>18</xdr:row>
      <xdr:rowOff>157728</xdr:rowOff>
    </xdr:to>
    <xdr:cxnSp macro="">
      <xdr:nvCxnSpPr>
        <xdr:cNvPr id="74" name="Connector: Elbow 73">
          <a:extLst>
            <a:ext uri="{FF2B5EF4-FFF2-40B4-BE49-F238E27FC236}">
              <a16:creationId xmlns:a16="http://schemas.microsoft.com/office/drawing/2014/main" id="{E95FFDBC-0388-4387-90CF-7A3542267A5E}"/>
            </a:ext>
          </a:extLst>
        </xdr:cNvPr>
        <xdr:cNvCxnSpPr>
          <a:cxnSpLocks/>
          <a:stCxn id="165" idx="3"/>
          <a:endCxn id="35" idx="1"/>
        </xdr:cNvCxnSpPr>
      </xdr:nvCxnSpPr>
      <xdr:spPr>
        <a:xfrm flipV="1">
          <a:off x="6026523" y="3034278"/>
          <a:ext cx="3042396" cy="552450"/>
        </a:xfrm>
        <a:prstGeom prst="bentConnector3">
          <a:avLst>
            <a:gd name="adj1" fmla="val 50000"/>
          </a:avLst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597274</xdr:colOff>
      <xdr:row>15</xdr:row>
      <xdr:rowOff>172016</xdr:rowOff>
    </xdr:from>
    <xdr:to>
      <xdr:col>17</xdr:col>
      <xdr:colOff>173132</xdr:colOff>
      <xdr:row>15</xdr:row>
      <xdr:rowOff>176778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AA446D64-BBBD-47BD-B278-ACA9E9D790B3}"/>
            </a:ext>
          </a:extLst>
        </xdr:cNvPr>
        <xdr:cNvCxnSpPr>
          <a:stCxn id="35" idx="3"/>
          <a:endCxn id="189" idx="1"/>
        </xdr:cNvCxnSpPr>
      </xdr:nvCxnSpPr>
      <xdr:spPr>
        <a:xfrm flipV="1">
          <a:off x="10279156" y="3029516"/>
          <a:ext cx="180976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142875</xdr:colOff>
      <xdr:row>5</xdr:row>
      <xdr:rowOff>39225</xdr:rowOff>
    </xdr:from>
    <xdr:to>
      <xdr:col>3</xdr:col>
      <xdr:colOff>400051</xdr:colOff>
      <xdr:row>6</xdr:row>
      <xdr:rowOff>134475</xdr:rowOff>
    </xdr:to>
    <xdr:sp macro="" textlink="">
      <xdr:nvSpPr>
        <xdr:cNvPr id="81" name="Rectangle: Rounded Corners 80">
          <a:extLst>
            <a:ext uri="{FF2B5EF4-FFF2-40B4-BE49-F238E27FC236}">
              <a16:creationId xmlns:a16="http://schemas.microsoft.com/office/drawing/2014/main" id="{842AAD84-461A-4D14-BF0E-9E210E7C63B6}"/>
            </a:ext>
          </a:extLst>
        </xdr:cNvPr>
        <xdr:cNvSpPr/>
      </xdr:nvSpPr>
      <xdr:spPr>
        <a:xfrm>
          <a:off x="1353110" y="991725"/>
          <a:ext cx="862294" cy="2857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mA_LEFT</a:t>
          </a:r>
        </a:p>
      </xdr:txBody>
    </xdr:sp>
    <xdr:clientData/>
  </xdr:twoCellAnchor>
  <xdr:twoCellAnchor>
    <xdr:from>
      <xdr:col>2</xdr:col>
      <xdr:colOff>142875</xdr:colOff>
      <xdr:row>7</xdr:row>
      <xdr:rowOff>68361</xdr:rowOff>
    </xdr:from>
    <xdr:to>
      <xdr:col>3</xdr:col>
      <xdr:colOff>400051</xdr:colOff>
      <xdr:row>8</xdr:row>
      <xdr:rowOff>163611</xdr:rowOff>
    </xdr:to>
    <xdr:sp macro="" textlink="">
      <xdr:nvSpPr>
        <xdr:cNvPr id="82" name="Rectangle: Rounded Corners 81">
          <a:extLst>
            <a:ext uri="{FF2B5EF4-FFF2-40B4-BE49-F238E27FC236}">
              <a16:creationId xmlns:a16="http://schemas.microsoft.com/office/drawing/2014/main" id="{3574339F-1E1B-4070-B523-048E384B5A9F}"/>
            </a:ext>
          </a:extLst>
        </xdr:cNvPr>
        <xdr:cNvSpPr/>
      </xdr:nvSpPr>
      <xdr:spPr>
        <a:xfrm>
          <a:off x="1353110" y="1401861"/>
          <a:ext cx="862294" cy="28575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mA_RIGHT</a:t>
          </a:r>
        </a:p>
      </xdr:txBody>
    </xdr:sp>
    <xdr:clientData/>
  </xdr:twoCellAnchor>
  <xdr:twoCellAnchor>
    <xdr:from>
      <xdr:col>5</xdr:col>
      <xdr:colOff>373716</xdr:colOff>
      <xdr:row>5</xdr:row>
      <xdr:rowOff>10650</xdr:rowOff>
    </xdr:from>
    <xdr:to>
      <xdr:col>6</xdr:col>
      <xdr:colOff>354666</xdr:colOff>
      <xdr:row>6</xdr:row>
      <xdr:rowOff>143999</xdr:rowOff>
    </xdr:to>
    <xdr:sp macro="" textlink="">
      <xdr:nvSpPr>
        <xdr:cNvPr id="83" name="Rectangle: Rounded Corners 82">
          <a:extLst>
            <a:ext uri="{FF2B5EF4-FFF2-40B4-BE49-F238E27FC236}">
              <a16:creationId xmlns:a16="http://schemas.microsoft.com/office/drawing/2014/main" id="{BD9F2D31-9139-4597-9CE8-0DF9C9A4EFF6}"/>
            </a:ext>
          </a:extLst>
        </xdr:cNvPr>
        <xdr:cNvSpPr/>
      </xdr:nvSpPr>
      <xdr:spPr>
        <a:xfrm>
          <a:off x="3399304" y="963150"/>
          <a:ext cx="586068" cy="323849"/>
        </a:xfrm>
        <a:prstGeom prst="roundRect">
          <a:avLst/>
        </a:prstGeom>
        <a:solidFill>
          <a:schemeClr val="bg1"/>
        </a:solidFill>
        <a:ln w="28575"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Filter</a:t>
          </a:r>
        </a:p>
      </xdr:txBody>
    </xdr:sp>
    <xdr:clientData/>
  </xdr:twoCellAnchor>
  <xdr:twoCellAnchor>
    <xdr:from>
      <xdr:col>5</xdr:col>
      <xdr:colOff>366430</xdr:colOff>
      <xdr:row>7</xdr:row>
      <xdr:rowOff>48191</xdr:rowOff>
    </xdr:from>
    <xdr:to>
      <xdr:col>6</xdr:col>
      <xdr:colOff>347380</xdr:colOff>
      <xdr:row>8</xdr:row>
      <xdr:rowOff>181540</xdr:rowOff>
    </xdr:to>
    <xdr:sp macro="" textlink="">
      <xdr:nvSpPr>
        <xdr:cNvPr id="84" name="Rectangle: Rounded Corners 83">
          <a:extLst>
            <a:ext uri="{FF2B5EF4-FFF2-40B4-BE49-F238E27FC236}">
              <a16:creationId xmlns:a16="http://schemas.microsoft.com/office/drawing/2014/main" id="{6594E2B6-0EAE-4248-8429-23269D54A9EC}"/>
            </a:ext>
          </a:extLst>
        </xdr:cNvPr>
        <xdr:cNvSpPr/>
      </xdr:nvSpPr>
      <xdr:spPr>
        <a:xfrm>
          <a:off x="3392018" y="1381691"/>
          <a:ext cx="586068" cy="32384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2">
                  <a:lumMod val="90000"/>
                </a:schemeClr>
              </a:solidFill>
            </a:rPr>
            <a:t>Filter</a:t>
          </a:r>
        </a:p>
      </xdr:txBody>
    </xdr:sp>
    <xdr:clientData/>
  </xdr:twoCellAnchor>
  <xdr:twoCellAnchor>
    <xdr:from>
      <xdr:col>3</xdr:col>
      <xdr:colOff>400051</xdr:colOff>
      <xdr:row>5</xdr:row>
      <xdr:rowOff>172575</xdr:rowOff>
    </xdr:from>
    <xdr:to>
      <xdr:col>5</xdr:col>
      <xdr:colOff>373716</xdr:colOff>
      <xdr:row>5</xdr:row>
      <xdr:rowOff>182100</xdr:rowOff>
    </xdr:to>
    <xdr:cxnSp macro="">
      <xdr:nvCxnSpPr>
        <xdr:cNvPr id="85" name="Straight Arrow Connector 84">
          <a:extLst>
            <a:ext uri="{FF2B5EF4-FFF2-40B4-BE49-F238E27FC236}">
              <a16:creationId xmlns:a16="http://schemas.microsoft.com/office/drawing/2014/main" id="{D240AEFF-43C0-428C-AAED-31A47A1C54A0}"/>
            </a:ext>
          </a:extLst>
        </xdr:cNvPr>
        <xdr:cNvCxnSpPr>
          <a:cxnSpLocks/>
          <a:stCxn id="81" idx="3"/>
          <a:endCxn id="83" idx="1"/>
        </xdr:cNvCxnSpPr>
      </xdr:nvCxnSpPr>
      <xdr:spPr>
        <a:xfrm flipV="1">
          <a:off x="2215404" y="1125075"/>
          <a:ext cx="118390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400051</xdr:colOff>
      <xdr:row>8</xdr:row>
      <xdr:rowOff>19616</xdr:rowOff>
    </xdr:from>
    <xdr:to>
      <xdr:col>5</xdr:col>
      <xdr:colOff>366430</xdr:colOff>
      <xdr:row>8</xdr:row>
      <xdr:rowOff>20736</xdr:rowOff>
    </xdr:to>
    <xdr:cxnSp macro="">
      <xdr:nvCxnSpPr>
        <xdr:cNvPr id="88" name="Straight Arrow Connector 87">
          <a:extLst>
            <a:ext uri="{FF2B5EF4-FFF2-40B4-BE49-F238E27FC236}">
              <a16:creationId xmlns:a16="http://schemas.microsoft.com/office/drawing/2014/main" id="{57D6BDE7-71D2-425C-B509-E1B929966B30}"/>
            </a:ext>
          </a:extLst>
        </xdr:cNvPr>
        <xdr:cNvCxnSpPr>
          <a:cxnSpLocks/>
          <a:stCxn id="82" idx="3"/>
          <a:endCxn id="84" idx="1"/>
        </xdr:cNvCxnSpPr>
      </xdr:nvCxnSpPr>
      <xdr:spPr>
        <a:xfrm flipV="1">
          <a:off x="2215404" y="1543616"/>
          <a:ext cx="1176614" cy="1120"/>
        </a:xfrm>
        <a:prstGeom prst="straightConnector1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444872</xdr:colOff>
      <xdr:row>10</xdr:row>
      <xdr:rowOff>67241</xdr:rowOff>
    </xdr:from>
    <xdr:to>
      <xdr:col>28</xdr:col>
      <xdr:colOff>201706</xdr:colOff>
      <xdr:row>16</xdr:row>
      <xdr:rowOff>105340</xdr:rowOff>
    </xdr:to>
    <xdr:sp macro="" textlink="">
      <xdr:nvSpPr>
        <xdr:cNvPr id="91" name="Rectangle: Rounded Corners 90">
          <a:extLst>
            <a:ext uri="{FF2B5EF4-FFF2-40B4-BE49-F238E27FC236}">
              <a16:creationId xmlns:a16="http://schemas.microsoft.com/office/drawing/2014/main" id="{98AD29A7-33A5-4F66-B237-5D6259D21039}"/>
            </a:ext>
          </a:extLst>
        </xdr:cNvPr>
        <xdr:cNvSpPr/>
      </xdr:nvSpPr>
      <xdr:spPr>
        <a:xfrm>
          <a:off x="14967696" y="1972241"/>
          <a:ext cx="2177304" cy="1181099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DRIVE: ERROR CONTROLLER (PID) 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with RateLimit Protection</a:t>
          </a:r>
        </a:p>
      </xdr:txBody>
    </xdr:sp>
    <xdr:clientData/>
  </xdr:twoCellAnchor>
  <xdr:twoCellAnchor>
    <xdr:from>
      <xdr:col>19</xdr:col>
      <xdr:colOff>549649</xdr:colOff>
      <xdr:row>15</xdr:row>
      <xdr:rowOff>172015</xdr:rowOff>
    </xdr:from>
    <xdr:to>
      <xdr:col>20</xdr:col>
      <xdr:colOff>135028</xdr:colOff>
      <xdr:row>28</xdr:row>
      <xdr:rowOff>162490</xdr:rowOff>
    </xdr:to>
    <xdr:cxnSp macro="">
      <xdr:nvCxnSpPr>
        <xdr:cNvPr id="96" name="Connector: Elbow 95">
          <a:extLst>
            <a:ext uri="{FF2B5EF4-FFF2-40B4-BE49-F238E27FC236}">
              <a16:creationId xmlns:a16="http://schemas.microsoft.com/office/drawing/2014/main" id="{7ECF1CDE-2F8A-4BAC-89A3-230343ACA329}"/>
            </a:ext>
          </a:extLst>
        </xdr:cNvPr>
        <xdr:cNvCxnSpPr>
          <a:stCxn id="30" idx="3"/>
          <a:endCxn id="102" idx="1"/>
        </xdr:cNvCxnSpPr>
      </xdr:nvCxnSpPr>
      <xdr:spPr>
        <a:xfrm>
          <a:off x="12046884" y="3029515"/>
          <a:ext cx="190497" cy="2466975"/>
        </a:xfrm>
        <a:prstGeom prst="bentConnector3">
          <a:avLst>
            <a:gd name="adj1" fmla="val 50000"/>
          </a:avLst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168652</xdr:colOff>
      <xdr:row>12</xdr:row>
      <xdr:rowOff>63317</xdr:rowOff>
    </xdr:from>
    <xdr:to>
      <xdr:col>22</xdr:col>
      <xdr:colOff>564221</xdr:colOff>
      <xdr:row>15</xdr:row>
      <xdr:rowOff>25216</xdr:rowOff>
    </xdr:to>
    <xdr:sp macro="" textlink="">
      <xdr:nvSpPr>
        <xdr:cNvPr id="100" name="Rectangle: Rounded Corners 99">
          <a:extLst>
            <a:ext uri="{FF2B5EF4-FFF2-40B4-BE49-F238E27FC236}">
              <a16:creationId xmlns:a16="http://schemas.microsoft.com/office/drawing/2014/main" id="{13B1F657-34E8-444A-9D1A-9B56E926C4E1}"/>
            </a:ext>
          </a:extLst>
        </xdr:cNvPr>
        <xdr:cNvSpPr/>
      </xdr:nvSpPr>
      <xdr:spPr>
        <a:xfrm>
          <a:off x="12876123" y="2349317"/>
          <a:ext cx="1000686" cy="533399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Target Speed LEFT</a:t>
          </a:r>
        </a:p>
      </xdr:txBody>
    </xdr:sp>
    <xdr:clientData/>
  </xdr:twoCellAnchor>
  <xdr:twoCellAnchor>
    <xdr:from>
      <xdr:col>20</xdr:col>
      <xdr:colOff>135028</xdr:colOff>
      <xdr:row>27</xdr:row>
      <xdr:rowOff>86290</xdr:rowOff>
    </xdr:from>
    <xdr:to>
      <xdr:col>21</xdr:col>
      <xdr:colOff>530597</xdr:colOff>
      <xdr:row>30</xdr:row>
      <xdr:rowOff>48189</xdr:rowOff>
    </xdr:to>
    <xdr:sp macro="" textlink="">
      <xdr:nvSpPr>
        <xdr:cNvPr id="102" name="Rectangle: Rounded Corners 101">
          <a:extLst>
            <a:ext uri="{FF2B5EF4-FFF2-40B4-BE49-F238E27FC236}">
              <a16:creationId xmlns:a16="http://schemas.microsoft.com/office/drawing/2014/main" id="{1E440CAD-37D1-4890-A8FE-748041D50589}"/>
            </a:ext>
          </a:extLst>
        </xdr:cNvPr>
        <xdr:cNvSpPr/>
      </xdr:nvSpPr>
      <xdr:spPr>
        <a:xfrm>
          <a:off x="12237381" y="5229790"/>
          <a:ext cx="1000687" cy="53339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2">
                  <a:lumMod val="90000"/>
                </a:schemeClr>
              </a:solidFill>
            </a:rPr>
            <a:t>Target Speed RIGHT</a:t>
          </a:r>
        </a:p>
      </xdr:txBody>
    </xdr:sp>
    <xdr:clientData/>
  </xdr:twoCellAnchor>
  <xdr:twoCellAnchor>
    <xdr:from>
      <xdr:col>10</xdr:col>
      <xdr:colOff>9524</xdr:colOff>
      <xdr:row>10</xdr:row>
      <xdr:rowOff>72003</xdr:rowOff>
    </xdr:from>
    <xdr:to>
      <xdr:col>21</xdr:col>
      <xdr:colOff>30254</xdr:colOff>
      <xdr:row>27</xdr:row>
      <xdr:rowOff>86290</xdr:rowOff>
    </xdr:to>
    <xdr:cxnSp macro="">
      <xdr:nvCxnSpPr>
        <xdr:cNvPr id="107" name="Connector: Elbow 106">
          <a:extLst>
            <a:ext uri="{FF2B5EF4-FFF2-40B4-BE49-F238E27FC236}">
              <a16:creationId xmlns:a16="http://schemas.microsoft.com/office/drawing/2014/main" id="{1B2ECB8C-9189-4136-BDFA-90371078A2B1}"/>
            </a:ext>
          </a:extLst>
        </xdr:cNvPr>
        <xdr:cNvCxnSpPr>
          <a:stCxn id="31" idx="3"/>
          <a:endCxn id="102" idx="0"/>
        </xdr:cNvCxnSpPr>
      </xdr:nvCxnSpPr>
      <xdr:spPr>
        <a:xfrm>
          <a:off x="6060700" y="1977003"/>
          <a:ext cx="6677025" cy="3252787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354666</xdr:colOff>
      <xdr:row>5</xdr:row>
      <xdr:rowOff>172575</xdr:rowOff>
    </xdr:from>
    <xdr:to>
      <xdr:col>26</xdr:col>
      <xdr:colOff>295595</xdr:colOff>
      <xdr:row>7</xdr:row>
      <xdr:rowOff>29140</xdr:rowOff>
    </xdr:to>
    <xdr:cxnSp macro="">
      <xdr:nvCxnSpPr>
        <xdr:cNvPr id="115" name="Connector: Elbow 114">
          <a:extLst>
            <a:ext uri="{FF2B5EF4-FFF2-40B4-BE49-F238E27FC236}">
              <a16:creationId xmlns:a16="http://schemas.microsoft.com/office/drawing/2014/main" id="{9DD8DD3A-924A-4CB1-A116-A374B9016F18}"/>
            </a:ext>
          </a:extLst>
        </xdr:cNvPr>
        <xdr:cNvCxnSpPr>
          <a:stCxn id="83" idx="3"/>
          <a:endCxn id="209" idx="0"/>
        </xdr:cNvCxnSpPr>
      </xdr:nvCxnSpPr>
      <xdr:spPr>
        <a:xfrm>
          <a:off x="3985372" y="1125075"/>
          <a:ext cx="12043282" cy="237565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564221</xdr:colOff>
      <xdr:row>13</xdr:row>
      <xdr:rowOff>125791</xdr:rowOff>
    </xdr:from>
    <xdr:to>
      <xdr:col>24</xdr:col>
      <xdr:colOff>239805</xdr:colOff>
      <xdr:row>13</xdr:row>
      <xdr:rowOff>139517</xdr:rowOff>
    </xdr:to>
    <xdr:cxnSp macro="">
      <xdr:nvCxnSpPr>
        <xdr:cNvPr id="118" name="Straight Arrow Connector 117">
          <a:extLst>
            <a:ext uri="{FF2B5EF4-FFF2-40B4-BE49-F238E27FC236}">
              <a16:creationId xmlns:a16="http://schemas.microsoft.com/office/drawing/2014/main" id="{B1C05923-833F-41A2-8C10-3D4E97F36447}"/>
            </a:ext>
          </a:extLst>
        </xdr:cNvPr>
        <xdr:cNvCxnSpPr>
          <a:stCxn id="100" idx="3"/>
        </xdr:cNvCxnSpPr>
      </xdr:nvCxnSpPr>
      <xdr:spPr>
        <a:xfrm flipV="1">
          <a:off x="13876809" y="2602291"/>
          <a:ext cx="885820" cy="137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530597</xdr:colOff>
      <xdr:row>28</xdr:row>
      <xdr:rowOff>160937</xdr:rowOff>
    </xdr:from>
    <xdr:to>
      <xdr:col>22</xdr:col>
      <xdr:colOff>149545</xdr:colOff>
      <xdr:row>28</xdr:row>
      <xdr:rowOff>162490</xdr:rowOff>
    </xdr:to>
    <xdr:cxnSp macro="">
      <xdr:nvCxnSpPr>
        <xdr:cNvPr id="121" name="Straight Arrow Connector 120">
          <a:extLst>
            <a:ext uri="{FF2B5EF4-FFF2-40B4-BE49-F238E27FC236}">
              <a16:creationId xmlns:a16="http://schemas.microsoft.com/office/drawing/2014/main" id="{90A0E8FE-A186-42D4-A3EF-2362DE9D1803}"/>
            </a:ext>
          </a:extLst>
        </xdr:cNvPr>
        <xdr:cNvCxnSpPr>
          <a:cxnSpLocks/>
          <a:stCxn id="102" idx="3"/>
          <a:endCxn id="229" idx="1"/>
        </xdr:cNvCxnSpPr>
      </xdr:nvCxnSpPr>
      <xdr:spPr>
        <a:xfrm flipV="1">
          <a:off x="13238068" y="5494937"/>
          <a:ext cx="224065" cy="1553"/>
        </a:xfrm>
        <a:prstGeom prst="straightConnector1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347380</xdr:colOff>
      <xdr:row>8</xdr:row>
      <xdr:rowOff>19616</xdr:rowOff>
    </xdr:from>
    <xdr:to>
      <xdr:col>23</xdr:col>
      <xdr:colOff>473422</xdr:colOff>
      <xdr:row>22</xdr:row>
      <xdr:rowOff>43400</xdr:rowOff>
    </xdr:to>
    <xdr:cxnSp macro="">
      <xdr:nvCxnSpPr>
        <xdr:cNvPr id="127" name="Connector: Elbow 126">
          <a:extLst>
            <a:ext uri="{FF2B5EF4-FFF2-40B4-BE49-F238E27FC236}">
              <a16:creationId xmlns:a16="http://schemas.microsoft.com/office/drawing/2014/main" id="{E3CC939B-977D-4FCB-B8FB-C19C79C42613}"/>
            </a:ext>
          </a:extLst>
        </xdr:cNvPr>
        <xdr:cNvCxnSpPr>
          <a:cxnSpLocks/>
          <a:stCxn id="84" idx="3"/>
          <a:endCxn id="229" idx="0"/>
        </xdr:cNvCxnSpPr>
      </xdr:nvCxnSpPr>
      <xdr:spPr>
        <a:xfrm>
          <a:off x="3978086" y="1543616"/>
          <a:ext cx="10413042" cy="2690784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454397</xdr:colOff>
      <xdr:row>17</xdr:row>
      <xdr:rowOff>3365</xdr:rowOff>
    </xdr:from>
    <xdr:to>
      <xdr:col>26</xdr:col>
      <xdr:colOff>296955</xdr:colOff>
      <xdr:row>19</xdr:row>
      <xdr:rowOff>98614</xdr:rowOff>
    </xdr:to>
    <xdr:sp macro="" textlink="">
      <xdr:nvSpPr>
        <xdr:cNvPr id="150" name="Rectangle: Rounded Corners 149">
          <a:extLst>
            <a:ext uri="{FF2B5EF4-FFF2-40B4-BE49-F238E27FC236}">
              <a16:creationId xmlns:a16="http://schemas.microsoft.com/office/drawing/2014/main" id="{7D4006EB-0017-49B4-A01C-0CA6F21DC054}"/>
            </a:ext>
          </a:extLst>
        </xdr:cNvPr>
        <xdr:cNvSpPr/>
      </xdr:nvSpPr>
      <xdr:spPr>
        <a:xfrm>
          <a:off x="14977221" y="3241865"/>
          <a:ext cx="1052793" cy="476249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BRAKING: TBD</a:t>
          </a:r>
        </a:p>
      </xdr:txBody>
    </xdr:sp>
    <xdr:clientData/>
  </xdr:twoCellAnchor>
  <xdr:twoCellAnchor>
    <xdr:from>
      <xdr:col>7</xdr:col>
      <xdr:colOff>523314</xdr:colOff>
      <xdr:row>17</xdr:row>
      <xdr:rowOff>565</xdr:rowOff>
    </xdr:from>
    <xdr:to>
      <xdr:col>9</xdr:col>
      <xdr:colOff>580464</xdr:colOff>
      <xdr:row>20</xdr:row>
      <xdr:rowOff>124390</xdr:rowOff>
    </xdr:to>
    <xdr:sp macro="" textlink="">
      <xdr:nvSpPr>
        <xdr:cNvPr id="165" name="Rectangle: Rounded Corners 164">
          <a:extLst>
            <a:ext uri="{FF2B5EF4-FFF2-40B4-BE49-F238E27FC236}">
              <a16:creationId xmlns:a16="http://schemas.microsoft.com/office/drawing/2014/main" id="{292CA91C-469D-46DF-9DF9-F7DFB8142E9B}"/>
            </a:ext>
          </a:extLst>
        </xdr:cNvPr>
        <xdr:cNvSpPr/>
      </xdr:nvSpPr>
      <xdr:spPr>
        <a:xfrm>
          <a:off x="4759138" y="3239065"/>
          <a:ext cx="1267385" cy="69532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2">
                  <a:lumMod val="90000"/>
                </a:schemeClr>
              </a:solidFill>
            </a:rPr>
            <a:t>Cartesian (XY) to Polar Coordinates (AR)</a:t>
          </a:r>
        </a:p>
      </xdr:txBody>
    </xdr:sp>
    <xdr:clientData/>
  </xdr:twoCellAnchor>
  <xdr:twoCellAnchor>
    <xdr:from>
      <xdr:col>7</xdr:col>
      <xdr:colOff>147358</xdr:colOff>
      <xdr:row>18</xdr:row>
      <xdr:rowOff>157728</xdr:rowOff>
    </xdr:from>
    <xdr:to>
      <xdr:col>7</xdr:col>
      <xdr:colOff>523314</xdr:colOff>
      <xdr:row>18</xdr:row>
      <xdr:rowOff>167253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F7B4AB82-1D9C-4C61-BA85-096383692B8B}"/>
            </a:ext>
          </a:extLst>
        </xdr:cNvPr>
        <xdr:cNvCxnSpPr>
          <a:cxnSpLocks/>
          <a:stCxn id="206" idx="3"/>
          <a:endCxn id="165" idx="1"/>
        </xdr:cNvCxnSpPr>
      </xdr:nvCxnSpPr>
      <xdr:spPr>
        <a:xfrm flipV="1">
          <a:off x="4383182" y="3586728"/>
          <a:ext cx="375956" cy="9525"/>
        </a:xfrm>
        <a:prstGeom prst="straightConnector1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173132</xdr:colOff>
      <xdr:row>15</xdr:row>
      <xdr:rowOff>10091</xdr:rowOff>
    </xdr:from>
    <xdr:to>
      <xdr:col>18</xdr:col>
      <xdr:colOff>87405</xdr:colOff>
      <xdr:row>16</xdr:row>
      <xdr:rowOff>143440</xdr:rowOff>
    </xdr:to>
    <xdr:sp macro="" textlink="">
      <xdr:nvSpPr>
        <xdr:cNvPr id="189" name="Rectangle: Rounded Corners 188">
          <a:extLst>
            <a:ext uri="{FF2B5EF4-FFF2-40B4-BE49-F238E27FC236}">
              <a16:creationId xmlns:a16="http://schemas.microsoft.com/office/drawing/2014/main" id="{D8965369-EBB6-40E4-A1B6-B4FC12C5DDE7}"/>
            </a:ext>
          </a:extLst>
        </xdr:cNvPr>
        <xdr:cNvSpPr/>
      </xdr:nvSpPr>
      <xdr:spPr>
        <a:xfrm>
          <a:off x="10460132" y="2867591"/>
          <a:ext cx="519391" cy="323849"/>
        </a:xfrm>
        <a:prstGeom prst="roundRect">
          <a:avLst/>
        </a:prstGeom>
        <a:solidFill>
          <a:schemeClr val="bg1"/>
        </a:solidFill>
        <a:ln w="28575"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Filter</a:t>
          </a:r>
        </a:p>
      </xdr:txBody>
    </xdr:sp>
    <xdr:clientData/>
  </xdr:twoCellAnchor>
  <xdr:twoCellAnchor>
    <xdr:from>
      <xdr:col>18</xdr:col>
      <xdr:colOff>87405</xdr:colOff>
      <xdr:row>15</xdr:row>
      <xdr:rowOff>172015</xdr:rowOff>
    </xdr:from>
    <xdr:to>
      <xdr:col>18</xdr:col>
      <xdr:colOff>287430</xdr:colOff>
      <xdr:row>15</xdr:row>
      <xdr:rowOff>172016</xdr:rowOff>
    </xdr:to>
    <xdr:cxnSp macro="">
      <xdr:nvCxnSpPr>
        <xdr:cNvPr id="192" name="Straight Arrow Connector 191">
          <a:extLst>
            <a:ext uri="{FF2B5EF4-FFF2-40B4-BE49-F238E27FC236}">
              <a16:creationId xmlns:a16="http://schemas.microsoft.com/office/drawing/2014/main" id="{83B62BE1-7B3D-4886-A9E4-2875ECF2B09C}"/>
            </a:ext>
          </a:extLst>
        </xdr:cNvPr>
        <xdr:cNvCxnSpPr>
          <a:stCxn id="189" idx="3"/>
          <a:endCxn id="30" idx="1"/>
        </xdr:cNvCxnSpPr>
      </xdr:nvCxnSpPr>
      <xdr:spPr>
        <a:xfrm flipV="1">
          <a:off x="10979523" y="3029515"/>
          <a:ext cx="200025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590550</xdr:colOff>
      <xdr:row>17</xdr:row>
      <xdr:rowOff>565</xdr:rowOff>
    </xdr:from>
    <xdr:to>
      <xdr:col>7</xdr:col>
      <xdr:colOff>147358</xdr:colOff>
      <xdr:row>20</xdr:row>
      <xdr:rowOff>143440</xdr:rowOff>
    </xdr:to>
    <xdr:sp macro="" textlink="">
      <xdr:nvSpPr>
        <xdr:cNvPr id="206" name="Rectangle: Rounded Corners 205">
          <a:extLst>
            <a:ext uri="{FF2B5EF4-FFF2-40B4-BE49-F238E27FC236}">
              <a16:creationId xmlns:a16="http://schemas.microsoft.com/office/drawing/2014/main" id="{BDDD58DD-B537-4808-9128-919E93C93DA5}"/>
            </a:ext>
          </a:extLst>
        </xdr:cNvPr>
        <xdr:cNvSpPr/>
      </xdr:nvSpPr>
      <xdr:spPr>
        <a:xfrm>
          <a:off x="3011021" y="3239065"/>
          <a:ext cx="1372161" cy="7143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Filter, Diag, Initialize &amp; Center (failsafe to Center)</a:t>
          </a:r>
        </a:p>
      </xdr:txBody>
    </xdr:sp>
    <xdr:clientData/>
  </xdr:twoCellAnchor>
  <xdr:twoCellAnchor>
    <xdr:from>
      <xdr:col>22</xdr:col>
      <xdr:colOff>377126</xdr:colOff>
      <xdr:row>25</xdr:row>
      <xdr:rowOff>81501</xdr:rowOff>
    </xdr:from>
    <xdr:to>
      <xdr:col>25</xdr:col>
      <xdr:colOff>95858</xdr:colOff>
      <xdr:row>31</xdr:row>
      <xdr:rowOff>119600</xdr:rowOff>
    </xdr:to>
    <xdr:sp macro="" textlink="">
      <xdr:nvSpPr>
        <xdr:cNvPr id="227" name="Rectangle: Rounded Corners 226">
          <a:extLst>
            <a:ext uri="{FF2B5EF4-FFF2-40B4-BE49-F238E27FC236}">
              <a16:creationId xmlns:a16="http://schemas.microsoft.com/office/drawing/2014/main" id="{12BECAA1-6500-48A5-A0B8-6782EE7C0A7C}"/>
            </a:ext>
          </a:extLst>
        </xdr:cNvPr>
        <xdr:cNvSpPr/>
      </xdr:nvSpPr>
      <xdr:spPr>
        <a:xfrm>
          <a:off x="13689714" y="4844001"/>
          <a:ext cx="1534085" cy="118109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DRIVE: ERROR CONTROLLER (PID) </a:t>
          </a:r>
        </a:p>
        <a:p>
          <a:pPr marL="0" indent="0" algn="l"/>
          <a:endParaRPr lang="en-US" sz="1100">
            <a:solidFill>
              <a:schemeClr val="bg2">
                <a:lumMod val="90000"/>
              </a:schemeClr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with RateLimit Protection</a:t>
          </a:r>
        </a:p>
      </xdr:txBody>
    </xdr:sp>
    <xdr:clientData/>
  </xdr:twoCellAnchor>
  <xdr:twoCellAnchor>
    <xdr:from>
      <xdr:col>22</xdr:col>
      <xdr:colOff>438199</xdr:colOff>
      <xdr:row>32</xdr:row>
      <xdr:rowOff>17631</xdr:rowOff>
    </xdr:from>
    <xdr:to>
      <xdr:col>24</xdr:col>
      <xdr:colOff>281773</xdr:colOff>
      <xdr:row>34</xdr:row>
      <xdr:rowOff>112880</xdr:rowOff>
    </xdr:to>
    <xdr:sp macro="" textlink="">
      <xdr:nvSpPr>
        <xdr:cNvPr id="228" name="Rectangle: Rounded Corners 227">
          <a:extLst>
            <a:ext uri="{FF2B5EF4-FFF2-40B4-BE49-F238E27FC236}">
              <a16:creationId xmlns:a16="http://schemas.microsoft.com/office/drawing/2014/main" id="{D8A37FEE-8D27-4ED7-8D3F-E03BAE7495FF}"/>
            </a:ext>
          </a:extLst>
        </xdr:cNvPr>
        <xdr:cNvSpPr/>
      </xdr:nvSpPr>
      <xdr:spPr>
        <a:xfrm>
          <a:off x="13750787" y="6113631"/>
          <a:ext cx="1053810" cy="47624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BRAKING: TBD</a:t>
          </a:r>
        </a:p>
      </xdr:txBody>
    </xdr:sp>
    <xdr:clientData/>
  </xdr:twoCellAnchor>
  <xdr:twoCellAnchor>
    <xdr:from>
      <xdr:col>3</xdr:col>
      <xdr:colOff>400051</xdr:colOff>
      <xdr:row>20</xdr:row>
      <xdr:rowOff>95815</xdr:rowOff>
    </xdr:from>
    <xdr:to>
      <xdr:col>15</xdr:col>
      <xdr:colOff>597273</xdr:colOff>
      <xdr:row>31</xdr:row>
      <xdr:rowOff>52952</xdr:rowOff>
    </xdr:to>
    <xdr:cxnSp macro="">
      <xdr:nvCxnSpPr>
        <xdr:cNvPr id="237" name="Connector: Elbow 236">
          <a:extLst>
            <a:ext uri="{FF2B5EF4-FFF2-40B4-BE49-F238E27FC236}">
              <a16:creationId xmlns:a16="http://schemas.microsoft.com/office/drawing/2014/main" id="{1029F45C-74BA-49BD-837D-44BD12AC3097}"/>
            </a:ext>
          </a:extLst>
        </xdr:cNvPr>
        <xdr:cNvCxnSpPr>
          <a:stCxn id="11" idx="3"/>
          <a:endCxn id="35" idx="2"/>
        </xdr:cNvCxnSpPr>
      </xdr:nvCxnSpPr>
      <xdr:spPr>
        <a:xfrm flipV="1">
          <a:off x="2215404" y="3905815"/>
          <a:ext cx="7458634" cy="2052637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400051</xdr:colOff>
      <xdr:row>20</xdr:row>
      <xdr:rowOff>95815</xdr:rowOff>
    </xdr:from>
    <xdr:to>
      <xdr:col>15</xdr:col>
      <xdr:colOff>597273</xdr:colOff>
      <xdr:row>34</xdr:row>
      <xdr:rowOff>48190</xdr:rowOff>
    </xdr:to>
    <xdr:cxnSp macro="">
      <xdr:nvCxnSpPr>
        <xdr:cNvPr id="238" name="Connector: Elbow 237">
          <a:extLst>
            <a:ext uri="{FF2B5EF4-FFF2-40B4-BE49-F238E27FC236}">
              <a16:creationId xmlns:a16="http://schemas.microsoft.com/office/drawing/2014/main" id="{4A13C578-7F5D-4221-9F59-D78971B1905B}"/>
            </a:ext>
          </a:extLst>
        </xdr:cNvPr>
        <xdr:cNvCxnSpPr>
          <a:stCxn id="12" idx="3"/>
          <a:endCxn id="35" idx="2"/>
        </xdr:cNvCxnSpPr>
      </xdr:nvCxnSpPr>
      <xdr:spPr>
        <a:xfrm flipV="1">
          <a:off x="2215404" y="3905815"/>
          <a:ext cx="7458634" cy="2619375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9524</xdr:colOff>
      <xdr:row>10</xdr:row>
      <xdr:rowOff>72003</xdr:rowOff>
    </xdr:from>
    <xdr:to>
      <xdr:col>22</xdr:col>
      <xdr:colOff>63878</xdr:colOff>
      <xdr:row>12</xdr:row>
      <xdr:rowOff>63317</xdr:rowOff>
    </xdr:to>
    <xdr:cxnSp macro="">
      <xdr:nvCxnSpPr>
        <xdr:cNvPr id="104" name="Connector: Elbow 103">
          <a:extLst>
            <a:ext uri="{FF2B5EF4-FFF2-40B4-BE49-F238E27FC236}">
              <a16:creationId xmlns:a16="http://schemas.microsoft.com/office/drawing/2014/main" id="{DCF8B0EB-AE45-477E-A8EE-5575E63063B7}"/>
            </a:ext>
          </a:extLst>
        </xdr:cNvPr>
        <xdr:cNvCxnSpPr>
          <a:stCxn id="31" idx="3"/>
          <a:endCxn id="100" idx="0"/>
        </xdr:cNvCxnSpPr>
      </xdr:nvCxnSpPr>
      <xdr:spPr>
        <a:xfrm>
          <a:off x="6060700" y="1977003"/>
          <a:ext cx="7315766" cy="372314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549649</xdr:colOff>
      <xdr:row>13</xdr:row>
      <xdr:rowOff>139517</xdr:rowOff>
    </xdr:from>
    <xdr:to>
      <xdr:col>21</xdr:col>
      <xdr:colOff>168652</xdr:colOff>
      <xdr:row>15</xdr:row>
      <xdr:rowOff>172015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7189FF28-C530-4112-B9F9-C93E9AE658C6}"/>
            </a:ext>
          </a:extLst>
        </xdr:cNvPr>
        <xdr:cNvCxnSpPr>
          <a:stCxn id="30" idx="3"/>
          <a:endCxn id="100" idx="1"/>
        </xdr:cNvCxnSpPr>
      </xdr:nvCxnSpPr>
      <xdr:spPr>
        <a:xfrm flipV="1">
          <a:off x="12046884" y="2616017"/>
          <a:ext cx="829239" cy="413498"/>
        </a:xfrm>
        <a:prstGeom prst="bentConnector3">
          <a:avLst>
            <a:gd name="adj1" fmla="val 1229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190499</xdr:colOff>
      <xdr:row>22</xdr:row>
      <xdr:rowOff>62477</xdr:rowOff>
    </xdr:from>
    <xdr:to>
      <xdr:col>3</xdr:col>
      <xdr:colOff>523875</xdr:colOff>
      <xdr:row>23</xdr:row>
      <xdr:rowOff>172015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CE488D14-4CEC-41E9-A56F-F68F69C58575}"/>
            </a:ext>
          </a:extLst>
        </xdr:cNvPr>
        <xdr:cNvSpPr/>
      </xdr:nvSpPr>
      <xdr:spPr>
        <a:xfrm>
          <a:off x="1400734" y="4253477"/>
          <a:ext cx="938494" cy="300038"/>
        </a:xfrm>
        <a:prstGeom prst="roundRect">
          <a:avLst/>
        </a:prstGeom>
        <a:solidFill>
          <a:schemeClr val="bg1"/>
        </a:solidFill>
        <a:ln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RF REMOTE</a:t>
          </a:r>
        </a:p>
      </xdr:txBody>
    </xdr:sp>
    <xdr:clientData/>
  </xdr:twoCellAnchor>
  <xdr:twoCellAnchor>
    <xdr:from>
      <xdr:col>2</xdr:col>
      <xdr:colOff>190499</xdr:colOff>
      <xdr:row>24</xdr:row>
      <xdr:rowOff>29140</xdr:rowOff>
    </xdr:from>
    <xdr:to>
      <xdr:col>3</xdr:col>
      <xdr:colOff>542925</xdr:colOff>
      <xdr:row>25</xdr:row>
      <xdr:rowOff>114865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B474C13C-3A2A-4A6D-A7EA-3E8D240B6CD1}"/>
            </a:ext>
          </a:extLst>
        </xdr:cNvPr>
        <xdr:cNvSpPr/>
      </xdr:nvSpPr>
      <xdr:spPr>
        <a:xfrm>
          <a:off x="1400734" y="4601140"/>
          <a:ext cx="957544" cy="276225"/>
        </a:xfrm>
        <a:prstGeom prst="roundRect">
          <a:avLst/>
        </a:prstGeom>
        <a:solidFill>
          <a:schemeClr val="bg1"/>
        </a:solidFill>
        <a:ln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BLUETOOTH</a:t>
          </a:r>
        </a:p>
      </xdr:txBody>
    </xdr:sp>
    <xdr:clientData/>
  </xdr:twoCellAnchor>
  <xdr:twoCellAnchor>
    <xdr:from>
      <xdr:col>3</xdr:col>
      <xdr:colOff>523875</xdr:colOff>
      <xdr:row>15</xdr:row>
      <xdr:rowOff>176778</xdr:rowOff>
    </xdr:from>
    <xdr:to>
      <xdr:col>14</xdr:col>
      <xdr:colOff>597272</xdr:colOff>
      <xdr:row>23</xdr:row>
      <xdr:rowOff>21996</xdr:rowOff>
    </xdr:to>
    <xdr:cxnSp macro="">
      <xdr:nvCxnSpPr>
        <xdr:cNvPr id="43" name="Connector: Elbow 42">
          <a:extLst>
            <a:ext uri="{FF2B5EF4-FFF2-40B4-BE49-F238E27FC236}">
              <a16:creationId xmlns:a16="http://schemas.microsoft.com/office/drawing/2014/main" id="{E53C148D-EE06-4F24-819F-82668EF8D2CB}"/>
            </a:ext>
          </a:extLst>
        </xdr:cNvPr>
        <xdr:cNvCxnSpPr>
          <a:stCxn id="41" idx="3"/>
          <a:endCxn id="35" idx="1"/>
        </xdr:cNvCxnSpPr>
      </xdr:nvCxnSpPr>
      <xdr:spPr>
        <a:xfrm flipV="1">
          <a:off x="2339228" y="3034278"/>
          <a:ext cx="6729691" cy="1369218"/>
        </a:xfrm>
        <a:prstGeom prst="bentConnector3">
          <a:avLst>
            <a:gd name="adj1" fmla="val 97457"/>
          </a:avLst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542925</xdr:colOff>
      <xdr:row>15</xdr:row>
      <xdr:rowOff>176778</xdr:rowOff>
    </xdr:from>
    <xdr:to>
      <xdr:col>14</xdr:col>
      <xdr:colOff>597272</xdr:colOff>
      <xdr:row>24</xdr:row>
      <xdr:rowOff>167253</xdr:rowOff>
    </xdr:to>
    <xdr:cxnSp macro="">
      <xdr:nvCxnSpPr>
        <xdr:cNvPr id="44" name="Connector: Elbow 43">
          <a:extLst>
            <a:ext uri="{FF2B5EF4-FFF2-40B4-BE49-F238E27FC236}">
              <a16:creationId xmlns:a16="http://schemas.microsoft.com/office/drawing/2014/main" id="{B54B6D88-3FBF-4D8C-BCA7-3FCB46437885}"/>
            </a:ext>
          </a:extLst>
        </xdr:cNvPr>
        <xdr:cNvCxnSpPr>
          <a:stCxn id="42" idx="3"/>
          <a:endCxn id="35" idx="1"/>
        </xdr:cNvCxnSpPr>
      </xdr:nvCxnSpPr>
      <xdr:spPr>
        <a:xfrm flipV="1">
          <a:off x="2358278" y="3034278"/>
          <a:ext cx="6710641" cy="1704975"/>
        </a:xfrm>
        <a:prstGeom prst="bentConnector3">
          <a:avLst>
            <a:gd name="adj1" fmla="val 97591"/>
          </a:avLst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535641</xdr:colOff>
      <xdr:row>14</xdr:row>
      <xdr:rowOff>148203</xdr:rowOff>
    </xdr:from>
    <xdr:to>
      <xdr:col>14</xdr:col>
      <xdr:colOff>597272</xdr:colOff>
      <xdr:row>15</xdr:row>
      <xdr:rowOff>176778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366A2C77-6C7C-47AB-AF09-8D7E69F05EEF}"/>
            </a:ext>
          </a:extLst>
        </xdr:cNvPr>
        <xdr:cNvCxnSpPr>
          <a:stCxn id="20" idx="3"/>
          <a:endCxn id="35" idx="1"/>
        </xdr:cNvCxnSpPr>
      </xdr:nvCxnSpPr>
      <xdr:spPr>
        <a:xfrm>
          <a:off x="5981700" y="2815203"/>
          <a:ext cx="3087219" cy="219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523875</xdr:colOff>
      <xdr:row>20</xdr:row>
      <xdr:rowOff>95815</xdr:rowOff>
    </xdr:from>
    <xdr:to>
      <xdr:col>15</xdr:col>
      <xdr:colOff>597273</xdr:colOff>
      <xdr:row>23</xdr:row>
      <xdr:rowOff>21996</xdr:rowOff>
    </xdr:to>
    <xdr:cxnSp macro="">
      <xdr:nvCxnSpPr>
        <xdr:cNvPr id="16" name="Connector: Elbow 15">
          <a:extLst>
            <a:ext uri="{FF2B5EF4-FFF2-40B4-BE49-F238E27FC236}">
              <a16:creationId xmlns:a16="http://schemas.microsoft.com/office/drawing/2014/main" id="{642181EB-746A-43ED-A6DF-94BC86232B3F}"/>
            </a:ext>
          </a:extLst>
        </xdr:cNvPr>
        <xdr:cNvCxnSpPr>
          <a:stCxn id="41" idx="3"/>
          <a:endCxn id="35" idx="2"/>
        </xdr:cNvCxnSpPr>
      </xdr:nvCxnSpPr>
      <xdr:spPr>
        <a:xfrm flipV="1">
          <a:off x="2339228" y="3905815"/>
          <a:ext cx="7334810" cy="497681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542925</xdr:colOff>
      <xdr:row>20</xdr:row>
      <xdr:rowOff>95815</xdr:rowOff>
    </xdr:from>
    <xdr:to>
      <xdr:col>15</xdr:col>
      <xdr:colOff>597273</xdr:colOff>
      <xdr:row>24</xdr:row>
      <xdr:rowOff>167253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6559AA7D-1FC1-49F6-933C-5E42A488B2EE}"/>
            </a:ext>
          </a:extLst>
        </xdr:cNvPr>
        <xdr:cNvCxnSpPr>
          <a:stCxn id="42" idx="3"/>
          <a:endCxn id="35" idx="2"/>
        </xdr:cNvCxnSpPr>
      </xdr:nvCxnSpPr>
      <xdr:spPr>
        <a:xfrm flipV="1">
          <a:off x="2358278" y="3905815"/>
          <a:ext cx="7315760" cy="833438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400051</xdr:colOff>
      <xdr:row>20</xdr:row>
      <xdr:rowOff>95815</xdr:rowOff>
    </xdr:from>
    <xdr:to>
      <xdr:col>15</xdr:col>
      <xdr:colOff>597273</xdr:colOff>
      <xdr:row>28</xdr:row>
      <xdr:rowOff>167253</xdr:rowOff>
    </xdr:to>
    <xdr:cxnSp macro="">
      <xdr:nvCxnSpPr>
        <xdr:cNvPr id="46" name="Connector: Elbow 45">
          <a:extLst>
            <a:ext uri="{FF2B5EF4-FFF2-40B4-BE49-F238E27FC236}">
              <a16:creationId xmlns:a16="http://schemas.microsoft.com/office/drawing/2014/main" id="{760B1137-E20B-4E5B-AF66-982B21DA3AF0}"/>
            </a:ext>
          </a:extLst>
        </xdr:cNvPr>
        <xdr:cNvCxnSpPr>
          <a:stCxn id="10" idx="3"/>
          <a:endCxn id="35" idx="2"/>
        </xdr:cNvCxnSpPr>
      </xdr:nvCxnSpPr>
      <xdr:spPr>
        <a:xfrm flipV="1">
          <a:off x="2215404" y="3905815"/>
          <a:ext cx="7458634" cy="1595438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401732</xdr:colOff>
      <xdr:row>14</xdr:row>
      <xdr:rowOff>110784</xdr:rowOff>
    </xdr:from>
    <xdr:to>
      <xdr:col>27</xdr:col>
      <xdr:colOff>316007</xdr:colOff>
      <xdr:row>16</xdr:row>
      <xdr:rowOff>53633</xdr:rowOff>
    </xdr:to>
    <xdr:sp macro="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4EC6383E-891B-4E80-94E1-9201C9C17D72}"/>
            </a:ext>
          </a:extLst>
        </xdr:cNvPr>
        <xdr:cNvSpPr/>
      </xdr:nvSpPr>
      <xdr:spPr>
        <a:xfrm>
          <a:off x="16134791" y="2777784"/>
          <a:ext cx="519392" cy="323849"/>
        </a:xfrm>
        <a:prstGeom prst="roundRect">
          <a:avLst/>
        </a:prstGeom>
        <a:solidFill>
          <a:schemeClr val="bg1"/>
        </a:solidFill>
        <a:ln w="28575"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Filter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400051</xdr:colOff>
      <xdr:row>0</xdr:row>
      <xdr:rowOff>156883</xdr:rowOff>
    </xdr:from>
    <xdr:to>
      <xdr:col>31</xdr:col>
      <xdr:colOff>291353</xdr:colOff>
      <xdr:row>36</xdr:row>
      <xdr:rowOff>56035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22F44C7-5FF1-4CF6-9BCC-56B0585E17BF}"/>
            </a:ext>
          </a:extLst>
        </xdr:cNvPr>
        <xdr:cNvSpPr/>
      </xdr:nvSpPr>
      <xdr:spPr>
        <a:xfrm>
          <a:off x="2838451" y="156883"/>
          <a:ext cx="16350502" cy="6757152"/>
        </a:xfrm>
        <a:prstGeom prst="roundRect">
          <a:avLst>
            <a:gd name="adj" fmla="val 2883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SOFTWARE</a:t>
          </a:r>
        </a:p>
      </xdr:txBody>
    </xdr:sp>
    <xdr:clientData/>
  </xdr:twoCellAnchor>
  <xdr:twoCellAnchor>
    <xdr:from>
      <xdr:col>5</xdr:col>
      <xdr:colOff>100851</xdr:colOff>
      <xdr:row>2</xdr:row>
      <xdr:rowOff>123265</xdr:rowOff>
    </xdr:from>
    <xdr:to>
      <xdr:col>7</xdr:col>
      <xdr:colOff>22409</xdr:colOff>
      <xdr:row>35</xdr:row>
      <xdr:rowOff>11211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932BAC0-CAB0-4D64-B6D4-4353C4B7D366}"/>
            </a:ext>
          </a:extLst>
        </xdr:cNvPr>
        <xdr:cNvSpPr/>
      </xdr:nvSpPr>
      <xdr:spPr>
        <a:xfrm>
          <a:off x="3148851" y="504265"/>
          <a:ext cx="1140758" cy="6174446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PROTECTION</a:t>
          </a:r>
          <a:r>
            <a:rPr lang="en-US" sz="1100" baseline="0">
              <a:solidFill>
                <a:sysClr val="windowText" lastClr="000000"/>
              </a:solidFill>
            </a:rPr>
            <a:t> LAYER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553567</xdr:colOff>
      <xdr:row>2</xdr:row>
      <xdr:rowOff>123265</xdr:rowOff>
    </xdr:from>
    <xdr:to>
      <xdr:col>9</xdr:col>
      <xdr:colOff>477367</xdr:colOff>
      <xdr:row>35</xdr:row>
      <xdr:rowOff>51552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057FC5B-C748-4AC1-B67B-2F049CD15076}"/>
            </a:ext>
          </a:extLst>
        </xdr:cNvPr>
        <xdr:cNvSpPr/>
      </xdr:nvSpPr>
      <xdr:spPr>
        <a:xfrm>
          <a:off x="4820767" y="504265"/>
          <a:ext cx="1143000" cy="6214787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CONVERSION LAYER</a:t>
          </a:r>
        </a:p>
      </xdr:txBody>
    </xdr:sp>
    <xdr:clientData/>
  </xdr:twoCellAnchor>
  <xdr:twoCellAnchor>
    <xdr:from>
      <xdr:col>0</xdr:col>
      <xdr:colOff>457201</xdr:colOff>
      <xdr:row>0</xdr:row>
      <xdr:rowOff>156882</xdr:rowOff>
    </xdr:from>
    <xdr:to>
      <xdr:col>4</xdr:col>
      <xdr:colOff>114300</xdr:colOff>
      <xdr:row>36</xdr:row>
      <xdr:rowOff>76765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21AD012-7392-406F-B68F-E059641F3976}"/>
            </a:ext>
          </a:extLst>
        </xdr:cNvPr>
        <xdr:cNvSpPr/>
      </xdr:nvSpPr>
      <xdr:spPr>
        <a:xfrm>
          <a:off x="457201" y="156882"/>
          <a:ext cx="2095499" cy="6777883"/>
        </a:xfrm>
        <a:prstGeom prst="roundRect">
          <a:avLst>
            <a:gd name="adj" fmla="val 7683"/>
          </a:avLst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HW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INPUTS</a:t>
          </a:r>
        </a:p>
      </xdr:txBody>
    </xdr:sp>
    <xdr:clientData/>
  </xdr:twoCellAnchor>
  <xdr:twoCellAnchor>
    <xdr:from>
      <xdr:col>31</xdr:col>
      <xdr:colOff>515470</xdr:colOff>
      <xdr:row>5</xdr:row>
      <xdr:rowOff>48190</xdr:rowOff>
    </xdr:from>
    <xdr:to>
      <xdr:col>33</xdr:col>
      <xdr:colOff>563095</xdr:colOff>
      <xdr:row>31</xdr:row>
      <xdr:rowOff>133915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237E907-C8B9-4D0D-A0A5-9FE0EA5A0269}"/>
            </a:ext>
          </a:extLst>
        </xdr:cNvPr>
        <xdr:cNvSpPr/>
      </xdr:nvSpPr>
      <xdr:spPr>
        <a:xfrm>
          <a:off x="19413070" y="1000690"/>
          <a:ext cx="1266825" cy="5038725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HW OUTPUTS</a:t>
          </a:r>
        </a:p>
      </xdr:txBody>
    </xdr:sp>
    <xdr:clientData/>
  </xdr:twoCellAnchor>
  <xdr:twoCellAnchor>
    <xdr:from>
      <xdr:col>1</xdr:col>
      <xdr:colOff>57149</xdr:colOff>
      <xdr:row>4</xdr:row>
      <xdr:rowOff>133916</xdr:rowOff>
    </xdr:from>
    <xdr:to>
      <xdr:col>4</xdr:col>
      <xdr:colOff>19051</xdr:colOff>
      <xdr:row>20</xdr:row>
      <xdr:rowOff>114866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1F02B871-012C-4B93-8B05-612F38A45DCA}"/>
            </a:ext>
          </a:extLst>
        </xdr:cNvPr>
        <xdr:cNvSpPr/>
      </xdr:nvSpPr>
      <xdr:spPr>
        <a:xfrm>
          <a:off x="666749" y="895916"/>
          <a:ext cx="1790702" cy="3028950"/>
        </a:xfrm>
        <a:prstGeom prst="roundRect">
          <a:avLst>
            <a:gd name="adj" fmla="val 5648"/>
          </a:avLst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ANALOG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66673</xdr:colOff>
      <xdr:row>27</xdr:row>
      <xdr:rowOff>57715</xdr:rowOff>
    </xdr:from>
    <xdr:to>
      <xdr:col>3</xdr:col>
      <xdr:colOff>561975</xdr:colOff>
      <xdr:row>35</xdr:row>
      <xdr:rowOff>181538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61B4417-FB57-41B1-ADD5-B17DD7A74625}"/>
            </a:ext>
          </a:extLst>
        </xdr:cNvPr>
        <xdr:cNvSpPr/>
      </xdr:nvSpPr>
      <xdr:spPr>
        <a:xfrm>
          <a:off x="676273" y="5201215"/>
          <a:ext cx="1714502" cy="1647823"/>
        </a:xfrm>
        <a:prstGeom prst="roundRect">
          <a:avLst>
            <a:gd name="adj" fmla="val 6039"/>
          </a:avLst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DIGITAL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24</xdr:col>
      <xdr:colOff>239805</xdr:colOff>
      <xdr:row>7</xdr:row>
      <xdr:rowOff>29140</xdr:rowOff>
    </xdr:from>
    <xdr:to>
      <xdr:col>28</xdr:col>
      <xdr:colOff>351384</xdr:colOff>
      <xdr:row>20</xdr:row>
      <xdr:rowOff>31941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1703F9C-D2FB-46AE-933E-6C64B259F77C}"/>
            </a:ext>
          </a:extLst>
        </xdr:cNvPr>
        <xdr:cNvSpPr/>
      </xdr:nvSpPr>
      <xdr:spPr>
        <a:xfrm>
          <a:off x="14870205" y="1362640"/>
          <a:ext cx="2549979" cy="2479301"/>
        </a:xfrm>
        <a:prstGeom prst="roundRect">
          <a:avLst>
            <a:gd name="adj" fmla="val 5073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STATEMACHINE LEFT</a:t>
          </a:r>
        </a:p>
        <a:p>
          <a:pPr algn="l"/>
          <a:r>
            <a:rPr 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with ZeroCrossing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149545</xdr:colOff>
      <xdr:row>22</xdr:row>
      <xdr:rowOff>43400</xdr:rowOff>
    </xdr:from>
    <xdr:to>
      <xdr:col>25</xdr:col>
      <xdr:colOff>192181</xdr:colOff>
      <xdr:row>35</xdr:row>
      <xdr:rowOff>87974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4CDD3F9A-AEC8-4F1A-B8C3-F389FE1965FF}"/>
            </a:ext>
          </a:extLst>
        </xdr:cNvPr>
        <xdr:cNvSpPr/>
      </xdr:nvSpPr>
      <xdr:spPr>
        <a:xfrm>
          <a:off x="13560745" y="4234400"/>
          <a:ext cx="1871436" cy="2521074"/>
        </a:xfrm>
        <a:prstGeom prst="roundRect">
          <a:avLst>
            <a:gd name="adj" fmla="val 5073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STATEMACHINE RIGHT</a:t>
          </a:r>
        </a:p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with ZeroCrossing </a:t>
          </a:r>
        </a:p>
      </xdr:txBody>
    </xdr:sp>
    <xdr:clientData/>
  </xdr:twoCellAnchor>
  <xdr:twoCellAnchor>
    <xdr:from>
      <xdr:col>1</xdr:col>
      <xdr:colOff>114298</xdr:colOff>
      <xdr:row>22</xdr:row>
      <xdr:rowOff>10090</xdr:rowOff>
    </xdr:from>
    <xdr:to>
      <xdr:col>3</xdr:col>
      <xdr:colOff>590550</xdr:colOff>
      <xdr:row>26</xdr:row>
      <xdr:rowOff>565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7CA73332-12ED-4A06-A044-6572A8744055}"/>
            </a:ext>
          </a:extLst>
        </xdr:cNvPr>
        <xdr:cNvSpPr/>
      </xdr:nvSpPr>
      <xdr:spPr>
        <a:xfrm>
          <a:off x="723898" y="4201090"/>
          <a:ext cx="1695452" cy="752475"/>
        </a:xfrm>
        <a:prstGeom prst="roundRect">
          <a:avLst>
            <a:gd name="adj" fmla="val 6039"/>
          </a:avLst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COM</a:t>
          </a:r>
        </a:p>
      </xdr:txBody>
    </xdr:sp>
    <xdr:clientData/>
  </xdr:twoCellAnchor>
  <xdr:twoCellAnchor>
    <xdr:from>
      <xdr:col>1</xdr:col>
      <xdr:colOff>533400</xdr:colOff>
      <xdr:row>12</xdr:row>
      <xdr:rowOff>19614</xdr:rowOff>
    </xdr:from>
    <xdr:to>
      <xdr:col>3</xdr:col>
      <xdr:colOff>533400</xdr:colOff>
      <xdr:row>20</xdr:row>
      <xdr:rowOff>57715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B7C51FD-0BE6-4A75-87AD-F43F4B613B45}"/>
            </a:ext>
          </a:extLst>
        </xdr:cNvPr>
        <xdr:cNvSpPr/>
      </xdr:nvSpPr>
      <xdr:spPr>
        <a:xfrm>
          <a:off x="1143000" y="2305614"/>
          <a:ext cx="1219200" cy="1562101"/>
        </a:xfrm>
        <a:prstGeom prst="roundRect">
          <a:avLst>
            <a:gd name="adj" fmla="val 7521"/>
          </a:avLst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JOYSTICKS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142875</xdr:colOff>
      <xdr:row>13</xdr:row>
      <xdr:rowOff>124390</xdr:rowOff>
    </xdr:from>
    <xdr:to>
      <xdr:col>3</xdr:col>
      <xdr:colOff>400051</xdr:colOff>
      <xdr:row>15</xdr:row>
      <xdr:rowOff>172015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2302A45A-D567-499A-B212-D5B6DE4DFC30}"/>
            </a:ext>
          </a:extLst>
        </xdr:cNvPr>
        <xdr:cNvSpPr/>
      </xdr:nvSpPr>
      <xdr:spPr>
        <a:xfrm>
          <a:off x="1362075" y="2600890"/>
          <a:ext cx="866776" cy="428625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ONBOARD</a:t>
          </a:r>
        </a:p>
      </xdr:txBody>
    </xdr:sp>
    <xdr:clientData/>
  </xdr:twoCellAnchor>
  <xdr:twoCellAnchor>
    <xdr:from>
      <xdr:col>2</xdr:col>
      <xdr:colOff>142875</xdr:colOff>
      <xdr:row>17</xdr:row>
      <xdr:rowOff>133915</xdr:rowOff>
    </xdr:from>
    <xdr:to>
      <xdr:col>3</xdr:col>
      <xdr:colOff>419101</xdr:colOff>
      <xdr:row>19</xdr:row>
      <xdr:rowOff>181540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125C17D-4842-47D3-96E6-C662DD4563E4}"/>
            </a:ext>
          </a:extLst>
        </xdr:cNvPr>
        <xdr:cNvSpPr/>
      </xdr:nvSpPr>
      <xdr:spPr>
        <a:xfrm>
          <a:off x="1362075" y="3372415"/>
          <a:ext cx="885826" cy="428625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TETHER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142875</xdr:colOff>
      <xdr:row>9</xdr:row>
      <xdr:rowOff>80127</xdr:rowOff>
    </xdr:from>
    <xdr:to>
      <xdr:col>3</xdr:col>
      <xdr:colOff>414618</xdr:colOff>
      <xdr:row>11</xdr:row>
      <xdr:rowOff>56034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8AECF518-A647-4798-AD87-EDCD5B5C5C18}"/>
            </a:ext>
          </a:extLst>
        </xdr:cNvPr>
        <xdr:cNvSpPr/>
      </xdr:nvSpPr>
      <xdr:spPr>
        <a:xfrm>
          <a:off x="1362075" y="1794627"/>
          <a:ext cx="881343" cy="356907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SPEED POT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142875</xdr:colOff>
      <xdr:row>28</xdr:row>
      <xdr:rowOff>19615</xdr:rowOff>
    </xdr:from>
    <xdr:to>
      <xdr:col>3</xdr:col>
      <xdr:colOff>400051</xdr:colOff>
      <xdr:row>29</xdr:row>
      <xdr:rowOff>124390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455BD99A-21D9-43B9-86E1-B2CB5AFC06EA}"/>
            </a:ext>
          </a:extLst>
        </xdr:cNvPr>
        <xdr:cNvSpPr/>
      </xdr:nvSpPr>
      <xdr:spPr>
        <a:xfrm>
          <a:off x="1362075" y="5353615"/>
          <a:ext cx="866776" cy="295275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JOY SELECT</a:t>
          </a:r>
        </a:p>
      </xdr:txBody>
    </xdr:sp>
    <xdr:clientData/>
  </xdr:twoCellAnchor>
  <xdr:twoCellAnchor>
    <xdr:from>
      <xdr:col>2</xdr:col>
      <xdr:colOff>142875</xdr:colOff>
      <xdr:row>29</xdr:row>
      <xdr:rowOff>176777</xdr:rowOff>
    </xdr:from>
    <xdr:to>
      <xdr:col>3</xdr:col>
      <xdr:colOff>400051</xdr:colOff>
      <xdr:row>32</xdr:row>
      <xdr:rowOff>119627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A2F4392A-D7DD-4535-A109-D1782EFB034E}"/>
            </a:ext>
          </a:extLst>
        </xdr:cNvPr>
        <xdr:cNvSpPr/>
      </xdr:nvSpPr>
      <xdr:spPr>
        <a:xfrm>
          <a:off x="1362075" y="5701277"/>
          <a:ext cx="866776" cy="514350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ONBOARD</a:t>
          </a:r>
          <a:endParaRPr lang="en-US" sz="1100" baseline="0">
            <a:solidFill>
              <a:sysClr val="windowText" lastClr="000000"/>
            </a:solidFill>
          </a:endParaRPr>
        </a:p>
        <a:p>
          <a:pPr algn="l"/>
          <a:r>
            <a:rPr lang="en-US" sz="1100" baseline="0">
              <a:solidFill>
                <a:sysClr val="windowText" lastClr="000000"/>
              </a:solidFill>
            </a:rPr>
            <a:t>BUTTON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142875</xdr:colOff>
      <xdr:row>32</xdr:row>
      <xdr:rowOff>172015</xdr:rowOff>
    </xdr:from>
    <xdr:to>
      <xdr:col>3</xdr:col>
      <xdr:colOff>400051</xdr:colOff>
      <xdr:row>35</xdr:row>
      <xdr:rowOff>114865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58A794B5-25EC-41BF-AB37-0C9FAE482D1D}"/>
            </a:ext>
          </a:extLst>
        </xdr:cNvPr>
        <xdr:cNvSpPr/>
      </xdr:nvSpPr>
      <xdr:spPr>
        <a:xfrm>
          <a:off x="1362075" y="6268015"/>
          <a:ext cx="866776" cy="514350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TETHER</a:t>
          </a:r>
          <a:endParaRPr lang="en-US" sz="1100" baseline="0">
            <a:solidFill>
              <a:sysClr val="windowText" lastClr="000000"/>
            </a:solidFill>
          </a:endParaRPr>
        </a:p>
        <a:p>
          <a:pPr algn="l"/>
          <a:r>
            <a:rPr lang="en-US" sz="1100" baseline="0">
              <a:solidFill>
                <a:sysClr val="windowText" lastClr="000000"/>
              </a:solidFill>
            </a:rPr>
            <a:t>BUTTON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32</xdr:col>
      <xdr:colOff>110377</xdr:colOff>
      <xdr:row>7</xdr:row>
      <xdr:rowOff>114866</xdr:rowOff>
    </xdr:from>
    <xdr:to>
      <xdr:col>33</xdr:col>
      <xdr:colOff>363071</xdr:colOff>
      <xdr:row>10</xdr:row>
      <xdr:rowOff>95816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FF58A6C1-EAD5-4F18-AD64-BC2DAEE35C68}"/>
            </a:ext>
          </a:extLst>
        </xdr:cNvPr>
        <xdr:cNvSpPr/>
      </xdr:nvSpPr>
      <xdr:spPr>
        <a:xfrm>
          <a:off x="19617577" y="1448366"/>
          <a:ext cx="862294" cy="552450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MOTOR LEFT</a:t>
          </a:r>
        </a:p>
      </xdr:txBody>
    </xdr:sp>
    <xdr:clientData/>
  </xdr:twoCellAnchor>
  <xdr:twoCellAnchor>
    <xdr:from>
      <xdr:col>32</xdr:col>
      <xdr:colOff>110377</xdr:colOff>
      <xdr:row>10</xdr:row>
      <xdr:rowOff>162490</xdr:rowOff>
    </xdr:from>
    <xdr:to>
      <xdr:col>33</xdr:col>
      <xdr:colOff>382121</xdr:colOff>
      <xdr:row>13</xdr:row>
      <xdr:rowOff>105340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282DE7B8-83C9-4548-BFE1-CC07492974FB}"/>
            </a:ext>
          </a:extLst>
        </xdr:cNvPr>
        <xdr:cNvSpPr/>
      </xdr:nvSpPr>
      <xdr:spPr>
        <a:xfrm>
          <a:off x="19617577" y="2067490"/>
          <a:ext cx="881344" cy="514350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MOTOR RIGHT</a:t>
          </a:r>
        </a:p>
      </xdr:txBody>
    </xdr:sp>
    <xdr:clientData/>
  </xdr:twoCellAnchor>
  <xdr:twoCellAnchor>
    <xdr:from>
      <xdr:col>28</xdr:col>
      <xdr:colOff>549088</xdr:colOff>
      <xdr:row>3</xdr:row>
      <xdr:rowOff>156887</xdr:rowOff>
    </xdr:from>
    <xdr:to>
      <xdr:col>31</xdr:col>
      <xdr:colOff>134471</xdr:colOff>
      <xdr:row>35</xdr:row>
      <xdr:rowOff>86290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8BDE8C4C-3AB7-41A1-8FD5-3FC525F7AC4A}"/>
            </a:ext>
          </a:extLst>
        </xdr:cNvPr>
        <xdr:cNvSpPr/>
      </xdr:nvSpPr>
      <xdr:spPr>
        <a:xfrm>
          <a:off x="17617888" y="728387"/>
          <a:ext cx="1414183" cy="6025403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OUTPUT LAYER</a:t>
          </a:r>
        </a:p>
      </xdr:txBody>
    </xdr:sp>
    <xdr:clientData/>
  </xdr:twoCellAnchor>
  <xdr:twoCellAnchor>
    <xdr:from>
      <xdr:col>5</xdr:col>
      <xdr:colOff>30256</xdr:colOff>
      <xdr:row>12</xdr:row>
      <xdr:rowOff>172015</xdr:rowOff>
    </xdr:from>
    <xdr:to>
      <xdr:col>7</xdr:col>
      <xdr:colOff>192181</xdr:colOff>
      <xdr:row>16</xdr:row>
      <xdr:rowOff>124390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F267F5EF-34D9-4B6A-B91B-DD883F0E24CD}"/>
            </a:ext>
          </a:extLst>
        </xdr:cNvPr>
        <xdr:cNvSpPr/>
      </xdr:nvSpPr>
      <xdr:spPr>
        <a:xfrm>
          <a:off x="3078256" y="2458015"/>
          <a:ext cx="1381125" cy="71437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Filter, Diag, Initialize &amp;</a:t>
          </a:r>
          <a:r>
            <a:rPr lang="en-US" sz="1100" baseline="0">
              <a:solidFill>
                <a:sysClr val="windowText" lastClr="000000"/>
              </a:solidFill>
            </a:rPr>
            <a:t> Center (failsafe to Center)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478491</xdr:colOff>
      <xdr:row>12</xdr:row>
      <xdr:rowOff>181540</xdr:rowOff>
    </xdr:from>
    <xdr:to>
      <xdr:col>9</xdr:col>
      <xdr:colOff>535641</xdr:colOff>
      <xdr:row>16</xdr:row>
      <xdr:rowOff>114865</xdr:rowOff>
    </xdr:to>
    <xdr:sp macro="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D8FB5E04-74BF-435D-99D6-6AC12DD6BC29}"/>
            </a:ext>
          </a:extLst>
        </xdr:cNvPr>
        <xdr:cNvSpPr/>
      </xdr:nvSpPr>
      <xdr:spPr>
        <a:xfrm>
          <a:off x="4745691" y="2467540"/>
          <a:ext cx="1276350" cy="6953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Cartesian (XY) to Polar Coordinates (AR)</a:t>
          </a:r>
        </a:p>
      </xdr:txBody>
    </xdr:sp>
    <xdr:clientData/>
  </xdr:twoCellAnchor>
  <xdr:twoCellAnchor>
    <xdr:from>
      <xdr:col>3</xdr:col>
      <xdr:colOff>400051</xdr:colOff>
      <xdr:row>14</xdr:row>
      <xdr:rowOff>148203</xdr:rowOff>
    </xdr:from>
    <xdr:to>
      <xdr:col>5</xdr:col>
      <xdr:colOff>30256</xdr:colOff>
      <xdr:row>14</xdr:row>
      <xdr:rowOff>148203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510D23DE-B876-4EF5-8FDE-CB6C4D848D9C}"/>
            </a:ext>
          </a:extLst>
        </xdr:cNvPr>
        <xdr:cNvCxnSpPr>
          <a:stCxn id="13" idx="3"/>
          <a:endCxn id="22" idx="1"/>
        </xdr:cNvCxnSpPr>
      </xdr:nvCxnSpPr>
      <xdr:spPr>
        <a:xfrm>
          <a:off x="2228851" y="2815203"/>
          <a:ext cx="84940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419101</xdr:colOff>
      <xdr:row>18</xdr:row>
      <xdr:rowOff>157728</xdr:rowOff>
    </xdr:from>
    <xdr:to>
      <xdr:col>4</xdr:col>
      <xdr:colOff>590550</xdr:colOff>
      <xdr:row>18</xdr:row>
      <xdr:rowOff>167253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E071B339-960B-4459-A517-04E136B87FC6}"/>
            </a:ext>
          </a:extLst>
        </xdr:cNvPr>
        <xdr:cNvCxnSpPr>
          <a:cxnSpLocks/>
          <a:stCxn id="14" idx="3"/>
          <a:endCxn id="53" idx="1"/>
        </xdr:cNvCxnSpPr>
      </xdr:nvCxnSpPr>
      <xdr:spPr>
        <a:xfrm>
          <a:off x="2247901" y="3586728"/>
          <a:ext cx="781049" cy="9525"/>
        </a:xfrm>
        <a:prstGeom prst="straightConnector1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363630</xdr:colOff>
      <xdr:row>14</xdr:row>
      <xdr:rowOff>38665</xdr:rowOff>
    </xdr:from>
    <xdr:to>
      <xdr:col>17</xdr:col>
      <xdr:colOff>16249</xdr:colOff>
      <xdr:row>20</xdr:row>
      <xdr:rowOff>38664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9F132CD9-1BF3-4757-A1E5-F9FA72A8CA04}"/>
            </a:ext>
          </a:extLst>
        </xdr:cNvPr>
        <xdr:cNvSpPr/>
      </xdr:nvSpPr>
      <xdr:spPr>
        <a:xfrm>
          <a:off x="9507630" y="2705665"/>
          <a:ext cx="871819" cy="1142999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Polar</a:t>
          </a:r>
          <a:r>
            <a:rPr lang="en-US" sz="1100" baseline="0">
              <a:solidFill>
                <a:sysClr val="windowText" lastClr="000000"/>
              </a:solidFill>
            </a:rPr>
            <a:t> (AR) to Mix mixL/mixR</a:t>
          </a:r>
        </a:p>
        <a:p>
          <a:pPr algn="l"/>
          <a:r>
            <a:rPr lang="en-US" sz="1100" baseline="0">
              <a:solidFill>
                <a:sysClr val="windowText" lastClr="000000"/>
              </a:solidFill>
            </a:rPr>
            <a:t>and</a:t>
          </a:r>
        </a:p>
        <a:p>
          <a:pPr algn="l"/>
          <a:r>
            <a:rPr lang="en-US" sz="1100" baseline="0">
              <a:solidFill>
                <a:sysClr val="windowText" lastClr="000000"/>
              </a:solidFill>
            </a:rPr>
            <a:t>Scale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496417</xdr:colOff>
      <xdr:row>9</xdr:row>
      <xdr:rowOff>19615</xdr:rowOff>
    </xdr:from>
    <xdr:to>
      <xdr:col>10</xdr:col>
      <xdr:colOff>9524</xdr:colOff>
      <xdr:row>11</xdr:row>
      <xdr:rowOff>124391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316E1D4B-EC88-426A-B2E1-6CB6C8F0C863}"/>
            </a:ext>
          </a:extLst>
        </xdr:cNvPr>
        <xdr:cNvSpPr/>
      </xdr:nvSpPr>
      <xdr:spPr>
        <a:xfrm>
          <a:off x="4763617" y="1734115"/>
          <a:ext cx="1341907" cy="485776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POT</a:t>
          </a:r>
          <a:r>
            <a:rPr lang="en-US" sz="1100" baseline="0">
              <a:solidFill>
                <a:sysClr val="windowText" lastClr="000000"/>
              </a:solidFill>
            </a:rPr>
            <a:t> to PotScale (failsafe to SLOW)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63872</xdr:colOff>
      <xdr:row>12</xdr:row>
      <xdr:rowOff>124390</xdr:rowOff>
    </xdr:from>
    <xdr:to>
      <xdr:col>14</xdr:col>
      <xdr:colOff>63874</xdr:colOff>
      <xdr:row>21</xdr:row>
      <xdr:rowOff>152965</xdr:rowOff>
    </xdr:to>
    <xdr:sp macro="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FE62BA7B-BACF-49A4-8B25-897C6A577172}"/>
            </a:ext>
          </a:extLst>
        </xdr:cNvPr>
        <xdr:cNvSpPr/>
      </xdr:nvSpPr>
      <xdr:spPr>
        <a:xfrm>
          <a:off x="7379072" y="2410390"/>
          <a:ext cx="1219202" cy="1743075"/>
        </a:xfrm>
        <a:prstGeom prst="roundRect">
          <a:avLst>
            <a:gd name="adj" fmla="val 9033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SELECT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(or blend?)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with "healthcheck"</a:t>
          </a:r>
          <a:r>
            <a:rPr lang="en-US" sz="1100" baseline="0">
              <a:solidFill>
                <a:sysClr val="windowText" lastClr="000000"/>
              </a:solidFill>
            </a:rPr>
            <a:t> protection</a:t>
          </a:r>
          <a:endParaRPr lang="en-US" sz="1100">
            <a:solidFill>
              <a:sysClr val="windowText" lastClr="000000"/>
            </a:solidFill>
          </a:endParaRP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Failsafe to NONE (OFF)</a:t>
          </a:r>
        </a:p>
      </xdr:txBody>
    </xdr:sp>
    <xdr:clientData/>
  </xdr:twoCellAnchor>
  <xdr:twoCellAnchor>
    <xdr:from>
      <xdr:col>3</xdr:col>
      <xdr:colOff>414618</xdr:colOff>
      <xdr:row>10</xdr:row>
      <xdr:rowOff>68081</xdr:rowOff>
    </xdr:from>
    <xdr:to>
      <xdr:col>7</xdr:col>
      <xdr:colOff>496417</xdr:colOff>
      <xdr:row>10</xdr:row>
      <xdr:rowOff>72003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9A3EB471-E4F0-468C-9893-41994ED9006D}"/>
            </a:ext>
          </a:extLst>
        </xdr:cNvPr>
        <xdr:cNvCxnSpPr>
          <a:cxnSpLocks/>
          <a:stCxn id="15" idx="3"/>
          <a:endCxn id="27" idx="1"/>
        </xdr:cNvCxnSpPr>
      </xdr:nvCxnSpPr>
      <xdr:spPr>
        <a:xfrm>
          <a:off x="2243418" y="1973081"/>
          <a:ext cx="2520199" cy="392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192181</xdr:colOff>
      <xdr:row>14</xdr:row>
      <xdr:rowOff>148203</xdr:rowOff>
    </xdr:from>
    <xdr:to>
      <xdr:col>7</xdr:col>
      <xdr:colOff>478491</xdr:colOff>
      <xdr:row>14</xdr:row>
      <xdr:rowOff>148203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33B69AE5-3ED4-4816-AB7E-93D5A6FC2DB3}"/>
            </a:ext>
          </a:extLst>
        </xdr:cNvPr>
        <xdr:cNvCxnSpPr>
          <a:stCxn id="22" idx="3"/>
          <a:endCxn id="23" idx="1"/>
        </xdr:cNvCxnSpPr>
      </xdr:nvCxnSpPr>
      <xdr:spPr>
        <a:xfrm>
          <a:off x="4459381" y="2815203"/>
          <a:ext cx="28631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580464</xdr:colOff>
      <xdr:row>17</xdr:row>
      <xdr:rowOff>43428</xdr:rowOff>
    </xdr:from>
    <xdr:to>
      <xdr:col>12</xdr:col>
      <xdr:colOff>63872</xdr:colOff>
      <xdr:row>18</xdr:row>
      <xdr:rowOff>157728</xdr:rowOff>
    </xdr:to>
    <xdr:cxnSp macro="">
      <xdr:nvCxnSpPr>
        <xdr:cNvPr id="31" name="Connector: Elbow 30">
          <a:extLst>
            <a:ext uri="{FF2B5EF4-FFF2-40B4-BE49-F238E27FC236}">
              <a16:creationId xmlns:a16="http://schemas.microsoft.com/office/drawing/2014/main" id="{047534CB-DC3E-4477-BDC9-545904378024}"/>
            </a:ext>
          </a:extLst>
        </xdr:cNvPr>
        <xdr:cNvCxnSpPr>
          <a:cxnSpLocks/>
          <a:stCxn id="49" idx="3"/>
          <a:endCxn id="28" idx="1"/>
        </xdr:cNvCxnSpPr>
      </xdr:nvCxnSpPr>
      <xdr:spPr>
        <a:xfrm flipV="1">
          <a:off x="6066864" y="3281928"/>
          <a:ext cx="1312208" cy="304800"/>
        </a:xfrm>
        <a:prstGeom prst="bentConnector3">
          <a:avLst>
            <a:gd name="adj1" fmla="val 50000"/>
          </a:avLst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63874</xdr:colOff>
      <xdr:row>17</xdr:row>
      <xdr:rowOff>38666</xdr:rowOff>
    </xdr:from>
    <xdr:to>
      <xdr:col>14</xdr:col>
      <xdr:colOff>249332</xdr:colOff>
      <xdr:row>17</xdr:row>
      <xdr:rowOff>43428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4B11A7D6-3425-49DD-A0CD-BA218CFB05F7}"/>
            </a:ext>
          </a:extLst>
        </xdr:cNvPr>
        <xdr:cNvCxnSpPr>
          <a:stCxn id="28" idx="3"/>
          <a:endCxn id="51" idx="1"/>
        </xdr:cNvCxnSpPr>
      </xdr:nvCxnSpPr>
      <xdr:spPr>
        <a:xfrm flipV="1">
          <a:off x="8598274" y="3277166"/>
          <a:ext cx="185458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142875</xdr:colOff>
      <xdr:row>5</xdr:row>
      <xdr:rowOff>39225</xdr:rowOff>
    </xdr:from>
    <xdr:to>
      <xdr:col>3</xdr:col>
      <xdr:colOff>400051</xdr:colOff>
      <xdr:row>6</xdr:row>
      <xdr:rowOff>134475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40262EE8-1B26-4AB9-9A2E-1ACAB52649D7}"/>
            </a:ext>
          </a:extLst>
        </xdr:cNvPr>
        <xdr:cNvSpPr/>
      </xdr:nvSpPr>
      <xdr:spPr>
        <a:xfrm>
          <a:off x="1362075" y="991725"/>
          <a:ext cx="866776" cy="285750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mA_LEFT</a:t>
          </a:r>
        </a:p>
      </xdr:txBody>
    </xdr:sp>
    <xdr:clientData/>
  </xdr:twoCellAnchor>
  <xdr:twoCellAnchor>
    <xdr:from>
      <xdr:col>2</xdr:col>
      <xdr:colOff>142875</xdr:colOff>
      <xdr:row>7</xdr:row>
      <xdr:rowOff>68361</xdr:rowOff>
    </xdr:from>
    <xdr:to>
      <xdr:col>3</xdr:col>
      <xdr:colOff>400051</xdr:colOff>
      <xdr:row>8</xdr:row>
      <xdr:rowOff>163611</xdr:rowOff>
    </xdr:to>
    <xdr:sp macro="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E1E64F9D-7A02-474A-A769-3D24816961C4}"/>
            </a:ext>
          </a:extLst>
        </xdr:cNvPr>
        <xdr:cNvSpPr/>
      </xdr:nvSpPr>
      <xdr:spPr>
        <a:xfrm>
          <a:off x="1362075" y="1401861"/>
          <a:ext cx="866776" cy="285750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mA_RIGHT</a:t>
          </a:r>
        </a:p>
      </xdr:txBody>
    </xdr:sp>
    <xdr:clientData/>
  </xdr:twoCellAnchor>
  <xdr:twoCellAnchor>
    <xdr:from>
      <xdr:col>5</xdr:col>
      <xdr:colOff>373716</xdr:colOff>
      <xdr:row>5</xdr:row>
      <xdr:rowOff>10650</xdr:rowOff>
    </xdr:from>
    <xdr:to>
      <xdr:col>6</xdr:col>
      <xdr:colOff>354666</xdr:colOff>
      <xdr:row>6</xdr:row>
      <xdr:rowOff>143999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8E95A9CB-0AE5-42A7-9473-668D407D039E}"/>
            </a:ext>
          </a:extLst>
        </xdr:cNvPr>
        <xdr:cNvSpPr/>
      </xdr:nvSpPr>
      <xdr:spPr>
        <a:xfrm>
          <a:off x="3421716" y="963150"/>
          <a:ext cx="590550" cy="323849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Filter</a:t>
          </a:r>
        </a:p>
      </xdr:txBody>
    </xdr:sp>
    <xdr:clientData/>
  </xdr:twoCellAnchor>
  <xdr:twoCellAnchor>
    <xdr:from>
      <xdr:col>5</xdr:col>
      <xdr:colOff>366430</xdr:colOff>
      <xdr:row>7</xdr:row>
      <xdr:rowOff>48191</xdr:rowOff>
    </xdr:from>
    <xdr:to>
      <xdr:col>6</xdr:col>
      <xdr:colOff>347380</xdr:colOff>
      <xdr:row>8</xdr:row>
      <xdr:rowOff>181540</xdr:rowOff>
    </xdr:to>
    <xdr:sp macro="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5087748C-C1B4-49EA-A95C-2D9E39B85019}"/>
            </a:ext>
          </a:extLst>
        </xdr:cNvPr>
        <xdr:cNvSpPr/>
      </xdr:nvSpPr>
      <xdr:spPr>
        <a:xfrm>
          <a:off x="3414430" y="1381691"/>
          <a:ext cx="590550" cy="32384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2">
                  <a:lumMod val="90000"/>
                </a:schemeClr>
              </a:solidFill>
            </a:rPr>
            <a:t>Filter</a:t>
          </a:r>
        </a:p>
      </xdr:txBody>
    </xdr:sp>
    <xdr:clientData/>
  </xdr:twoCellAnchor>
  <xdr:twoCellAnchor>
    <xdr:from>
      <xdr:col>3</xdr:col>
      <xdr:colOff>400051</xdr:colOff>
      <xdr:row>5</xdr:row>
      <xdr:rowOff>172575</xdr:rowOff>
    </xdr:from>
    <xdr:to>
      <xdr:col>5</xdr:col>
      <xdr:colOff>373716</xdr:colOff>
      <xdr:row>5</xdr:row>
      <xdr:rowOff>182100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6F45A2C3-E38E-4528-9056-C7744F2A10E3}"/>
            </a:ext>
          </a:extLst>
        </xdr:cNvPr>
        <xdr:cNvCxnSpPr>
          <a:cxnSpLocks/>
          <a:stCxn id="33" idx="3"/>
          <a:endCxn id="35" idx="1"/>
        </xdr:cNvCxnSpPr>
      </xdr:nvCxnSpPr>
      <xdr:spPr>
        <a:xfrm flipV="1">
          <a:off x="2228851" y="1125075"/>
          <a:ext cx="119286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400051</xdr:colOff>
      <xdr:row>8</xdr:row>
      <xdr:rowOff>19616</xdr:rowOff>
    </xdr:from>
    <xdr:to>
      <xdr:col>5</xdr:col>
      <xdr:colOff>366430</xdr:colOff>
      <xdr:row>8</xdr:row>
      <xdr:rowOff>20736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D7004E3F-51C5-4DDF-9C94-EB1C1A64832F}"/>
            </a:ext>
          </a:extLst>
        </xdr:cNvPr>
        <xdr:cNvCxnSpPr>
          <a:cxnSpLocks/>
          <a:stCxn id="34" idx="3"/>
          <a:endCxn id="36" idx="1"/>
        </xdr:cNvCxnSpPr>
      </xdr:nvCxnSpPr>
      <xdr:spPr>
        <a:xfrm flipV="1">
          <a:off x="2228851" y="1543616"/>
          <a:ext cx="1185579" cy="1120"/>
        </a:xfrm>
        <a:prstGeom prst="straightConnector1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444872</xdr:colOff>
      <xdr:row>10</xdr:row>
      <xdr:rowOff>67241</xdr:rowOff>
    </xdr:from>
    <xdr:to>
      <xdr:col>28</xdr:col>
      <xdr:colOff>201706</xdr:colOff>
      <xdr:row>16</xdr:row>
      <xdr:rowOff>105340</xdr:rowOff>
    </xdr:to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A2B5410D-4433-457C-8C77-FF6665E9F0A0}"/>
            </a:ext>
          </a:extLst>
        </xdr:cNvPr>
        <xdr:cNvSpPr/>
      </xdr:nvSpPr>
      <xdr:spPr>
        <a:xfrm>
          <a:off x="15075272" y="1972241"/>
          <a:ext cx="2195234" cy="1181099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DRIVE: ERROR CONTROLLER (PID) 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with RateLimit Protection</a:t>
          </a:r>
        </a:p>
      </xdr:txBody>
    </xdr:sp>
    <xdr:clientData/>
  </xdr:twoCellAnchor>
  <xdr:twoCellAnchor>
    <xdr:from>
      <xdr:col>17</xdr:col>
      <xdr:colOff>16249</xdr:colOff>
      <xdr:row>17</xdr:row>
      <xdr:rowOff>38665</xdr:rowOff>
    </xdr:from>
    <xdr:to>
      <xdr:col>20</xdr:col>
      <xdr:colOff>135028</xdr:colOff>
      <xdr:row>28</xdr:row>
      <xdr:rowOff>162490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5B5503E5-8476-46A7-BF9E-3FFFF9090091}"/>
            </a:ext>
          </a:extLst>
        </xdr:cNvPr>
        <xdr:cNvCxnSpPr>
          <a:stCxn id="26" idx="3"/>
          <a:endCxn id="42" idx="1"/>
        </xdr:cNvCxnSpPr>
      </xdr:nvCxnSpPr>
      <xdr:spPr>
        <a:xfrm>
          <a:off x="10379449" y="3277165"/>
          <a:ext cx="1947579" cy="2219325"/>
        </a:xfrm>
        <a:prstGeom prst="bentConnector3">
          <a:avLst>
            <a:gd name="adj1" fmla="val 50000"/>
          </a:avLst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168652</xdr:colOff>
      <xdr:row>12</xdr:row>
      <xdr:rowOff>63317</xdr:rowOff>
    </xdr:from>
    <xdr:to>
      <xdr:col>22</xdr:col>
      <xdr:colOff>564221</xdr:colOff>
      <xdr:row>15</xdr:row>
      <xdr:rowOff>25216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38BAE90E-A30E-4A1D-A0F1-B28E09024B14}"/>
            </a:ext>
          </a:extLst>
        </xdr:cNvPr>
        <xdr:cNvSpPr/>
      </xdr:nvSpPr>
      <xdr:spPr>
        <a:xfrm>
          <a:off x="12970252" y="2349317"/>
          <a:ext cx="1005169" cy="533399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Target Speed LEFT</a:t>
          </a:r>
        </a:p>
      </xdr:txBody>
    </xdr:sp>
    <xdr:clientData/>
  </xdr:twoCellAnchor>
  <xdr:twoCellAnchor>
    <xdr:from>
      <xdr:col>20</xdr:col>
      <xdr:colOff>135028</xdr:colOff>
      <xdr:row>27</xdr:row>
      <xdr:rowOff>86290</xdr:rowOff>
    </xdr:from>
    <xdr:to>
      <xdr:col>21</xdr:col>
      <xdr:colOff>530597</xdr:colOff>
      <xdr:row>30</xdr:row>
      <xdr:rowOff>48189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D16E7119-621E-4E04-AD46-7DBDBC74E6BB}"/>
            </a:ext>
          </a:extLst>
        </xdr:cNvPr>
        <xdr:cNvSpPr/>
      </xdr:nvSpPr>
      <xdr:spPr>
        <a:xfrm>
          <a:off x="12327028" y="5229790"/>
          <a:ext cx="1005169" cy="53339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2">
                  <a:lumMod val="90000"/>
                </a:schemeClr>
              </a:solidFill>
            </a:rPr>
            <a:t>Target Speed RIGHT</a:t>
          </a:r>
        </a:p>
      </xdr:txBody>
    </xdr:sp>
    <xdr:clientData/>
  </xdr:twoCellAnchor>
  <xdr:twoCellAnchor>
    <xdr:from>
      <xdr:col>10</xdr:col>
      <xdr:colOff>9524</xdr:colOff>
      <xdr:row>10</xdr:row>
      <xdr:rowOff>72003</xdr:rowOff>
    </xdr:from>
    <xdr:to>
      <xdr:col>21</xdr:col>
      <xdr:colOff>30254</xdr:colOff>
      <xdr:row>27</xdr:row>
      <xdr:rowOff>86290</xdr:rowOff>
    </xdr:to>
    <xdr:cxnSp macro="">
      <xdr:nvCxnSpPr>
        <xdr:cNvPr id="43" name="Connector: Elbow 42">
          <a:extLst>
            <a:ext uri="{FF2B5EF4-FFF2-40B4-BE49-F238E27FC236}">
              <a16:creationId xmlns:a16="http://schemas.microsoft.com/office/drawing/2014/main" id="{6582CD1B-5631-40C8-9EB9-BBF686AFCE6A}"/>
            </a:ext>
          </a:extLst>
        </xdr:cNvPr>
        <xdr:cNvCxnSpPr>
          <a:stCxn id="27" idx="3"/>
          <a:endCxn id="42" idx="0"/>
        </xdr:cNvCxnSpPr>
      </xdr:nvCxnSpPr>
      <xdr:spPr>
        <a:xfrm>
          <a:off x="6105524" y="1977003"/>
          <a:ext cx="6726330" cy="3252787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354666</xdr:colOff>
      <xdr:row>5</xdr:row>
      <xdr:rowOff>172575</xdr:rowOff>
    </xdr:from>
    <xdr:to>
      <xdr:col>26</xdr:col>
      <xdr:colOff>295595</xdr:colOff>
      <xdr:row>7</xdr:row>
      <xdr:rowOff>29140</xdr:rowOff>
    </xdr:to>
    <xdr:cxnSp macro="">
      <xdr:nvCxnSpPr>
        <xdr:cNvPr id="44" name="Connector: Elbow 43">
          <a:extLst>
            <a:ext uri="{FF2B5EF4-FFF2-40B4-BE49-F238E27FC236}">
              <a16:creationId xmlns:a16="http://schemas.microsoft.com/office/drawing/2014/main" id="{5246CB4C-86B5-4D5A-B2A6-0E4F86EB43E6}"/>
            </a:ext>
          </a:extLst>
        </xdr:cNvPr>
        <xdr:cNvCxnSpPr>
          <a:stCxn id="35" idx="3"/>
          <a:endCxn id="9" idx="0"/>
        </xdr:cNvCxnSpPr>
      </xdr:nvCxnSpPr>
      <xdr:spPr>
        <a:xfrm>
          <a:off x="4012266" y="1125075"/>
          <a:ext cx="12132929" cy="237565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564221</xdr:colOff>
      <xdr:row>13</xdr:row>
      <xdr:rowOff>125791</xdr:rowOff>
    </xdr:from>
    <xdr:to>
      <xdr:col>24</xdr:col>
      <xdr:colOff>239805</xdr:colOff>
      <xdr:row>13</xdr:row>
      <xdr:rowOff>139517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E6F2D493-5A49-4930-80D6-3A620C3FB1B2}"/>
            </a:ext>
          </a:extLst>
        </xdr:cNvPr>
        <xdr:cNvCxnSpPr>
          <a:stCxn id="41" idx="3"/>
        </xdr:cNvCxnSpPr>
      </xdr:nvCxnSpPr>
      <xdr:spPr>
        <a:xfrm flipV="1">
          <a:off x="13975421" y="2602291"/>
          <a:ext cx="894784" cy="137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530597</xdr:colOff>
      <xdr:row>28</xdr:row>
      <xdr:rowOff>160937</xdr:rowOff>
    </xdr:from>
    <xdr:to>
      <xdr:col>22</xdr:col>
      <xdr:colOff>149545</xdr:colOff>
      <xdr:row>28</xdr:row>
      <xdr:rowOff>162490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E0A6960F-D65E-4FA9-9652-BA4BEC2ECFF3}"/>
            </a:ext>
          </a:extLst>
        </xdr:cNvPr>
        <xdr:cNvCxnSpPr>
          <a:cxnSpLocks/>
          <a:stCxn id="42" idx="3"/>
          <a:endCxn id="10" idx="1"/>
        </xdr:cNvCxnSpPr>
      </xdr:nvCxnSpPr>
      <xdr:spPr>
        <a:xfrm flipV="1">
          <a:off x="13332197" y="5494937"/>
          <a:ext cx="228548" cy="1553"/>
        </a:xfrm>
        <a:prstGeom prst="straightConnector1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347380</xdr:colOff>
      <xdr:row>8</xdr:row>
      <xdr:rowOff>19616</xdr:rowOff>
    </xdr:from>
    <xdr:to>
      <xdr:col>23</xdr:col>
      <xdr:colOff>473422</xdr:colOff>
      <xdr:row>22</xdr:row>
      <xdr:rowOff>43400</xdr:rowOff>
    </xdr:to>
    <xdr:cxnSp macro="">
      <xdr:nvCxnSpPr>
        <xdr:cNvPr id="47" name="Connector: Elbow 46">
          <a:extLst>
            <a:ext uri="{FF2B5EF4-FFF2-40B4-BE49-F238E27FC236}">
              <a16:creationId xmlns:a16="http://schemas.microsoft.com/office/drawing/2014/main" id="{B9F515F0-3EB3-418D-A459-7618C7313F32}"/>
            </a:ext>
          </a:extLst>
        </xdr:cNvPr>
        <xdr:cNvCxnSpPr>
          <a:cxnSpLocks/>
          <a:stCxn id="36" idx="3"/>
          <a:endCxn id="10" idx="0"/>
        </xdr:cNvCxnSpPr>
      </xdr:nvCxnSpPr>
      <xdr:spPr>
        <a:xfrm>
          <a:off x="4004980" y="1543616"/>
          <a:ext cx="10489242" cy="2690784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454397</xdr:colOff>
      <xdr:row>17</xdr:row>
      <xdr:rowOff>3365</xdr:rowOff>
    </xdr:from>
    <xdr:to>
      <xdr:col>26</xdr:col>
      <xdr:colOff>296955</xdr:colOff>
      <xdr:row>19</xdr:row>
      <xdr:rowOff>98614</xdr:rowOff>
    </xdr:to>
    <xdr:sp macro="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692C43E4-78DA-46B9-AA29-9D7B842B46FA}"/>
            </a:ext>
          </a:extLst>
        </xdr:cNvPr>
        <xdr:cNvSpPr/>
      </xdr:nvSpPr>
      <xdr:spPr>
        <a:xfrm>
          <a:off x="15084797" y="3241865"/>
          <a:ext cx="1061758" cy="476249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BRAKING: TBD</a:t>
          </a:r>
        </a:p>
      </xdr:txBody>
    </xdr:sp>
    <xdr:clientData/>
  </xdr:twoCellAnchor>
  <xdr:twoCellAnchor>
    <xdr:from>
      <xdr:col>7</xdr:col>
      <xdr:colOff>523314</xdr:colOff>
      <xdr:row>17</xdr:row>
      <xdr:rowOff>565</xdr:rowOff>
    </xdr:from>
    <xdr:to>
      <xdr:col>9</xdr:col>
      <xdr:colOff>580464</xdr:colOff>
      <xdr:row>20</xdr:row>
      <xdr:rowOff>124390</xdr:rowOff>
    </xdr:to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EBB12B5F-A4B5-4FD2-A8A0-40F436A37EEB}"/>
            </a:ext>
          </a:extLst>
        </xdr:cNvPr>
        <xdr:cNvSpPr/>
      </xdr:nvSpPr>
      <xdr:spPr>
        <a:xfrm>
          <a:off x="4790514" y="3239065"/>
          <a:ext cx="1276350" cy="69532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2">
                  <a:lumMod val="90000"/>
                </a:schemeClr>
              </a:solidFill>
            </a:rPr>
            <a:t>Cartesian (XY) to Polar Coordinates (AR)</a:t>
          </a:r>
        </a:p>
      </xdr:txBody>
    </xdr:sp>
    <xdr:clientData/>
  </xdr:twoCellAnchor>
  <xdr:twoCellAnchor>
    <xdr:from>
      <xdr:col>7</xdr:col>
      <xdr:colOff>147358</xdr:colOff>
      <xdr:row>18</xdr:row>
      <xdr:rowOff>157728</xdr:rowOff>
    </xdr:from>
    <xdr:to>
      <xdr:col>7</xdr:col>
      <xdr:colOff>523314</xdr:colOff>
      <xdr:row>18</xdr:row>
      <xdr:rowOff>167253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18E2DE54-3AAE-4B75-BB20-77B15C2856BA}"/>
            </a:ext>
          </a:extLst>
        </xdr:cNvPr>
        <xdr:cNvCxnSpPr>
          <a:cxnSpLocks/>
          <a:stCxn id="53" idx="3"/>
          <a:endCxn id="49" idx="1"/>
        </xdr:cNvCxnSpPr>
      </xdr:nvCxnSpPr>
      <xdr:spPr>
        <a:xfrm flipV="1">
          <a:off x="4414558" y="3586728"/>
          <a:ext cx="375956" cy="9525"/>
        </a:xfrm>
        <a:prstGeom prst="straightConnector1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249332</xdr:colOff>
      <xdr:row>16</xdr:row>
      <xdr:rowOff>67241</xdr:rowOff>
    </xdr:from>
    <xdr:to>
      <xdr:col>15</xdr:col>
      <xdr:colOff>163605</xdr:colOff>
      <xdr:row>18</xdr:row>
      <xdr:rowOff>10090</xdr:rowOff>
    </xdr:to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9DE713CF-533F-4976-A4CF-05C21F4BC84D}"/>
            </a:ext>
          </a:extLst>
        </xdr:cNvPr>
        <xdr:cNvSpPr/>
      </xdr:nvSpPr>
      <xdr:spPr>
        <a:xfrm>
          <a:off x="8783732" y="3115241"/>
          <a:ext cx="523873" cy="323849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Filter</a:t>
          </a:r>
        </a:p>
      </xdr:txBody>
    </xdr:sp>
    <xdr:clientData/>
  </xdr:twoCellAnchor>
  <xdr:twoCellAnchor>
    <xdr:from>
      <xdr:col>15</xdr:col>
      <xdr:colOff>163605</xdr:colOff>
      <xdr:row>17</xdr:row>
      <xdr:rowOff>38665</xdr:rowOff>
    </xdr:from>
    <xdr:to>
      <xdr:col>15</xdr:col>
      <xdr:colOff>363630</xdr:colOff>
      <xdr:row>17</xdr:row>
      <xdr:rowOff>38666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7EC4DF66-8D1B-4791-9DCA-6D2058BD4C04}"/>
            </a:ext>
          </a:extLst>
        </xdr:cNvPr>
        <xdr:cNvCxnSpPr>
          <a:stCxn id="51" idx="3"/>
          <a:endCxn id="26" idx="1"/>
        </xdr:cNvCxnSpPr>
      </xdr:nvCxnSpPr>
      <xdr:spPr>
        <a:xfrm flipV="1">
          <a:off x="9307605" y="3277165"/>
          <a:ext cx="200025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590550</xdr:colOff>
      <xdr:row>17</xdr:row>
      <xdr:rowOff>565</xdr:rowOff>
    </xdr:from>
    <xdr:to>
      <xdr:col>7</xdr:col>
      <xdr:colOff>147358</xdr:colOff>
      <xdr:row>20</xdr:row>
      <xdr:rowOff>143440</xdr:rowOff>
    </xdr:to>
    <xdr:sp macro="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6A5A5F88-8993-4DB4-8B80-ADC400A01F8D}"/>
            </a:ext>
          </a:extLst>
        </xdr:cNvPr>
        <xdr:cNvSpPr/>
      </xdr:nvSpPr>
      <xdr:spPr>
        <a:xfrm>
          <a:off x="3028950" y="3239065"/>
          <a:ext cx="1385608" cy="7143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Filter, Diag, Initialize &amp; Center (failsafe to Center)</a:t>
          </a:r>
        </a:p>
      </xdr:txBody>
    </xdr:sp>
    <xdr:clientData/>
  </xdr:twoCellAnchor>
  <xdr:twoCellAnchor>
    <xdr:from>
      <xdr:col>22</xdr:col>
      <xdr:colOff>377126</xdr:colOff>
      <xdr:row>25</xdr:row>
      <xdr:rowOff>81501</xdr:rowOff>
    </xdr:from>
    <xdr:to>
      <xdr:col>25</xdr:col>
      <xdr:colOff>95858</xdr:colOff>
      <xdr:row>31</xdr:row>
      <xdr:rowOff>119600</xdr:rowOff>
    </xdr:to>
    <xdr:sp macro="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C7E8D035-0FC8-472D-B925-F04CEAA90F2E}"/>
            </a:ext>
          </a:extLst>
        </xdr:cNvPr>
        <xdr:cNvSpPr/>
      </xdr:nvSpPr>
      <xdr:spPr>
        <a:xfrm>
          <a:off x="13788326" y="4844001"/>
          <a:ext cx="1547532" cy="118109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DRIVE: ERROR CONTROLLER (PID) </a:t>
          </a:r>
        </a:p>
        <a:p>
          <a:pPr marL="0" indent="0" algn="l"/>
          <a:endParaRPr lang="en-US" sz="1100">
            <a:solidFill>
              <a:schemeClr val="bg2">
                <a:lumMod val="90000"/>
              </a:schemeClr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with RateLimit Protection</a:t>
          </a:r>
        </a:p>
      </xdr:txBody>
    </xdr:sp>
    <xdr:clientData/>
  </xdr:twoCellAnchor>
  <xdr:twoCellAnchor>
    <xdr:from>
      <xdr:col>22</xdr:col>
      <xdr:colOff>438199</xdr:colOff>
      <xdr:row>32</xdr:row>
      <xdr:rowOff>17631</xdr:rowOff>
    </xdr:from>
    <xdr:to>
      <xdr:col>24</xdr:col>
      <xdr:colOff>281773</xdr:colOff>
      <xdr:row>34</xdr:row>
      <xdr:rowOff>112880</xdr:rowOff>
    </xdr:to>
    <xdr:sp macro="" textlink="">
      <xdr:nvSpPr>
        <xdr:cNvPr id="55" name="Rectangle: Rounded Corners 54">
          <a:extLst>
            <a:ext uri="{FF2B5EF4-FFF2-40B4-BE49-F238E27FC236}">
              <a16:creationId xmlns:a16="http://schemas.microsoft.com/office/drawing/2014/main" id="{58EBB771-FE14-4E44-9140-3DF30A3164C8}"/>
            </a:ext>
          </a:extLst>
        </xdr:cNvPr>
        <xdr:cNvSpPr/>
      </xdr:nvSpPr>
      <xdr:spPr>
        <a:xfrm>
          <a:off x="13849399" y="6113631"/>
          <a:ext cx="1062774" cy="47624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bg2">
                  <a:lumMod val="90000"/>
                </a:schemeClr>
              </a:solidFill>
              <a:latin typeface="+mn-lt"/>
              <a:ea typeface="+mn-ea"/>
              <a:cs typeface="+mn-cs"/>
            </a:rPr>
            <a:t>BRAKING: TBD</a:t>
          </a:r>
        </a:p>
      </xdr:txBody>
    </xdr:sp>
    <xdr:clientData/>
  </xdr:twoCellAnchor>
  <xdr:twoCellAnchor>
    <xdr:from>
      <xdr:col>3</xdr:col>
      <xdr:colOff>400051</xdr:colOff>
      <xdr:row>21</xdr:row>
      <xdr:rowOff>152965</xdr:rowOff>
    </xdr:from>
    <xdr:to>
      <xdr:col>13</xdr:col>
      <xdr:colOff>63873</xdr:colOff>
      <xdr:row>31</xdr:row>
      <xdr:rowOff>52952</xdr:rowOff>
    </xdr:to>
    <xdr:cxnSp macro="">
      <xdr:nvCxnSpPr>
        <xdr:cNvPr id="56" name="Connector: Elbow 55">
          <a:extLst>
            <a:ext uri="{FF2B5EF4-FFF2-40B4-BE49-F238E27FC236}">
              <a16:creationId xmlns:a16="http://schemas.microsoft.com/office/drawing/2014/main" id="{DB87EF58-D8A8-468A-B974-F93B8E52ABE2}"/>
            </a:ext>
          </a:extLst>
        </xdr:cNvPr>
        <xdr:cNvCxnSpPr>
          <a:stCxn id="17" idx="3"/>
          <a:endCxn id="28" idx="2"/>
        </xdr:cNvCxnSpPr>
      </xdr:nvCxnSpPr>
      <xdr:spPr>
        <a:xfrm flipV="1">
          <a:off x="2228851" y="4153465"/>
          <a:ext cx="5759822" cy="1804987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400051</xdr:colOff>
      <xdr:row>21</xdr:row>
      <xdr:rowOff>152965</xdr:rowOff>
    </xdr:from>
    <xdr:to>
      <xdr:col>13</xdr:col>
      <xdr:colOff>63873</xdr:colOff>
      <xdr:row>34</xdr:row>
      <xdr:rowOff>48190</xdr:rowOff>
    </xdr:to>
    <xdr:cxnSp macro="">
      <xdr:nvCxnSpPr>
        <xdr:cNvPr id="57" name="Connector: Elbow 56">
          <a:extLst>
            <a:ext uri="{FF2B5EF4-FFF2-40B4-BE49-F238E27FC236}">
              <a16:creationId xmlns:a16="http://schemas.microsoft.com/office/drawing/2014/main" id="{8086AF71-DC68-43FE-A4AA-CA46C448D750}"/>
            </a:ext>
          </a:extLst>
        </xdr:cNvPr>
        <xdr:cNvCxnSpPr>
          <a:stCxn id="18" idx="3"/>
          <a:endCxn id="28" idx="2"/>
        </xdr:cNvCxnSpPr>
      </xdr:nvCxnSpPr>
      <xdr:spPr>
        <a:xfrm flipV="1">
          <a:off x="2228851" y="4153465"/>
          <a:ext cx="5759822" cy="2371725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9524</xdr:colOff>
      <xdr:row>10</xdr:row>
      <xdr:rowOff>72003</xdr:rowOff>
    </xdr:from>
    <xdr:to>
      <xdr:col>22</xdr:col>
      <xdr:colOff>63878</xdr:colOff>
      <xdr:row>12</xdr:row>
      <xdr:rowOff>63317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9B04EEE3-F909-40AD-8776-0816E0B224F8}"/>
            </a:ext>
          </a:extLst>
        </xdr:cNvPr>
        <xdr:cNvCxnSpPr>
          <a:stCxn id="27" idx="3"/>
          <a:endCxn id="41" idx="0"/>
        </xdr:cNvCxnSpPr>
      </xdr:nvCxnSpPr>
      <xdr:spPr>
        <a:xfrm>
          <a:off x="6105524" y="1977003"/>
          <a:ext cx="7369554" cy="372314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16249</xdr:colOff>
      <xdr:row>13</xdr:row>
      <xdr:rowOff>139517</xdr:rowOff>
    </xdr:from>
    <xdr:to>
      <xdr:col>21</xdr:col>
      <xdr:colOff>168652</xdr:colOff>
      <xdr:row>17</xdr:row>
      <xdr:rowOff>38665</xdr:rowOff>
    </xdr:to>
    <xdr:cxnSp macro="">
      <xdr:nvCxnSpPr>
        <xdr:cNvPr id="59" name="Connector: Elbow 58">
          <a:extLst>
            <a:ext uri="{FF2B5EF4-FFF2-40B4-BE49-F238E27FC236}">
              <a16:creationId xmlns:a16="http://schemas.microsoft.com/office/drawing/2014/main" id="{3516F9E8-769C-45BC-AA28-DB67FD99CA2D}"/>
            </a:ext>
          </a:extLst>
        </xdr:cNvPr>
        <xdr:cNvCxnSpPr>
          <a:stCxn id="26" idx="3"/>
          <a:endCxn id="41" idx="1"/>
        </xdr:cNvCxnSpPr>
      </xdr:nvCxnSpPr>
      <xdr:spPr>
        <a:xfrm flipV="1">
          <a:off x="10379449" y="2616017"/>
          <a:ext cx="2590803" cy="661148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190499</xdr:colOff>
      <xdr:row>22</xdr:row>
      <xdr:rowOff>62477</xdr:rowOff>
    </xdr:from>
    <xdr:to>
      <xdr:col>3</xdr:col>
      <xdr:colOff>523875</xdr:colOff>
      <xdr:row>23</xdr:row>
      <xdr:rowOff>172015</xdr:rowOff>
    </xdr:to>
    <xdr:sp macro="" textlink="">
      <xdr:nvSpPr>
        <xdr:cNvPr id="60" name="Rectangle: Rounded Corners 59">
          <a:extLst>
            <a:ext uri="{FF2B5EF4-FFF2-40B4-BE49-F238E27FC236}">
              <a16:creationId xmlns:a16="http://schemas.microsoft.com/office/drawing/2014/main" id="{250536D3-5101-4B27-870A-E1958FC919A1}"/>
            </a:ext>
          </a:extLst>
        </xdr:cNvPr>
        <xdr:cNvSpPr/>
      </xdr:nvSpPr>
      <xdr:spPr>
        <a:xfrm>
          <a:off x="1409699" y="4253477"/>
          <a:ext cx="942976" cy="300038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RF REMOTE</a:t>
          </a:r>
        </a:p>
      </xdr:txBody>
    </xdr:sp>
    <xdr:clientData/>
  </xdr:twoCellAnchor>
  <xdr:twoCellAnchor>
    <xdr:from>
      <xdr:col>2</xdr:col>
      <xdr:colOff>190499</xdr:colOff>
      <xdr:row>24</xdr:row>
      <xdr:rowOff>29140</xdr:rowOff>
    </xdr:from>
    <xdr:to>
      <xdr:col>3</xdr:col>
      <xdr:colOff>542925</xdr:colOff>
      <xdr:row>25</xdr:row>
      <xdr:rowOff>114865</xdr:rowOff>
    </xdr:to>
    <xdr:sp macro="" textlink="">
      <xdr:nvSpPr>
        <xdr:cNvPr id="61" name="Rectangle: Rounded Corners 60">
          <a:extLst>
            <a:ext uri="{FF2B5EF4-FFF2-40B4-BE49-F238E27FC236}">
              <a16:creationId xmlns:a16="http://schemas.microsoft.com/office/drawing/2014/main" id="{DE2B15D8-745B-4199-91C8-F486E6FED07F}"/>
            </a:ext>
          </a:extLst>
        </xdr:cNvPr>
        <xdr:cNvSpPr/>
      </xdr:nvSpPr>
      <xdr:spPr>
        <a:xfrm>
          <a:off x="1409699" y="4601140"/>
          <a:ext cx="962026" cy="276225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BLUETOOTH</a:t>
          </a:r>
        </a:p>
      </xdr:txBody>
    </xdr:sp>
    <xdr:clientData/>
  </xdr:twoCellAnchor>
  <xdr:twoCellAnchor>
    <xdr:from>
      <xdr:col>3</xdr:col>
      <xdr:colOff>523875</xdr:colOff>
      <xdr:row>17</xdr:row>
      <xdr:rowOff>43428</xdr:rowOff>
    </xdr:from>
    <xdr:to>
      <xdr:col>12</xdr:col>
      <xdr:colOff>63872</xdr:colOff>
      <xdr:row>23</xdr:row>
      <xdr:rowOff>21996</xdr:rowOff>
    </xdr:to>
    <xdr:cxnSp macro="">
      <xdr:nvCxnSpPr>
        <xdr:cNvPr id="62" name="Connector: Elbow 61">
          <a:extLst>
            <a:ext uri="{FF2B5EF4-FFF2-40B4-BE49-F238E27FC236}">
              <a16:creationId xmlns:a16="http://schemas.microsoft.com/office/drawing/2014/main" id="{DE4A6CDA-2287-4CE1-AE4E-DFAE4E09A76B}"/>
            </a:ext>
          </a:extLst>
        </xdr:cNvPr>
        <xdr:cNvCxnSpPr>
          <a:stCxn id="60" idx="3"/>
          <a:endCxn id="28" idx="1"/>
        </xdr:cNvCxnSpPr>
      </xdr:nvCxnSpPr>
      <xdr:spPr>
        <a:xfrm flipV="1">
          <a:off x="2352675" y="3281928"/>
          <a:ext cx="5026397" cy="1121568"/>
        </a:xfrm>
        <a:prstGeom prst="bentConnector3">
          <a:avLst>
            <a:gd name="adj1" fmla="val 86763"/>
          </a:avLst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542925</xdr:colOff>
      <xdr:row>17</xdr:row>
      <xdr:rowOff>43428</xdr:rowOff>
    </xdr:from>
    <xdr:to>
      <xdr:col>12</xdr:col>
      <xdr:colOff>63872</xdr:colOff>
      <xdr:row>23</xdr:row>
      <xdr:rowOff>5328</xdr:rowOff>
    </xdr:to>
    <xdr:cxnSp macro="">
      <xdr:nvCxnSpPr>
        <xdr:cNvPr id="63" name="Connector: Elbow 62">
          <a:extLst>
            <a:ext uri="{FF2B5EF4-FFF2-40B4-BE49-F238E27FC236}">
              <a16:creationId xmlns:a16="http://schemas.microsoft.com/office/drawing/2014/main" id="{682ACE06-A454-4D1A-885A-8F32A3B2A2B5}"/>
            </a:ext>
          </a:extLst>
        </xdr:cNvPr>
        <xdr:cNvCxnSpPr>
          <a:endCxn id="28" idx="1"/>
        </xdr:cNvCxnSpPr>
      </xdr:nvCxnSpPr>
      <xdr:spPr>
        <a:xfrm flipV="1">
          <a:off x="4200525" y="3281928"/>
          <a:ext cx="3178547" cy="1104900"/>
        </a:xfrm>
        <a:prstGeom prst="bentConnector3">
          <a:avLst>
            <a:gd name="adj1" fmla="val 78169"/>
          </a:avLst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535641</xdr:colOff>
      <xdr:row>14</xdr:row>
      <xdr:rowOff>148203</xdr:rowOff>
    </xdr:from>
    <xdr:to>
      <xdr:col>12</xdr:col>
      <xdr:colOff>63872</xdr:colOff>
      <xdr:row>17</xdr:row>
      <xdr:rowOff>43428</xdr:rowOff>
    </xdr:to>
    <xdr:cxnSp macro="">
      <xdr:nvCxnSpPr>
        <xdr:cNvPr id="64" name="Connector: Elbow 63">
          <a:extLst>
            <a:ext uri="{FF2B5EF4-FFF2-40B4-BE49-F238E27FC236}">
              <a16:creationId xmlns:a16="http://schemas.microsoft.com/office/drawing/2014/main" id="{0ADADCE8-BA9E-4326-8847-78BA21FD4861}"/>
            </a:ext>
          </a:extLst>
        </xdr:cNvPr>
        <xdr:cNvCxnSpPr>
          <a:stCxn id="23" idx="3"/>
          <a:endCxn id="28" idx="1"/>
        </xdr:cNvCxnSpPr>
      </xdr:nvCxnSpPr>
      <xdr:spPr>
        <a:xfrm>
          <a:off x="6022041" y="2815203"/>
          <a:ext cx="1357031" cy="4667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523875</xdr:colOff>
      <xdr:row>21</xdr:row>
      <xdr:rowOff>152965</xdr:rowOff>
    </xdr:from>
    <xdr:to>
      <xdr:col>13</xdr:col>
      <xdr:colOff>63873</xdr:colOff>
      <xdr:row>23</xdr:row>
      <xdr:rowOff>21996</xdr:rowOff>
    </xdr:to>
    <xdr:cxnSp macro="">
      <xdr:nvCxnSpPr>
        <xdr:cNvPr id="65" name="Connector: Elbow 64">
          <a:extLst>
            <a:ext uri="{FF2B5EF4-FFF2-40B4-BE49-F238E27FC236}">
              <a16:creationId xmlns:a16="http://schemas.microsoft.com/office/drawing/2014/main" id="{BFEC1D59-D7BD-4409-8A63-654610E69F71}"/>
            </a:ext>
          </a:extLst>
        </xdr:cNvPr>
        <xdr:cNvCxnSpPr>
          <a:stCxn id="60" idx="3"/>
          <a:endCxn id="28" idx="2"/>
        </xdr:cNvCxnSpPr>
      </xdr:nvCxnSpPr>
      <xdr:spPr>
        <a:xfrm flipV="1">
          <a:off x="2352675" y="4153465"/>
          <a:ext cx="5635998" cy="250031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542925</xdr:colOff>
      <xdr:row>21</xdr:row>
      <xdr:rowOff>152965</xdr:rowOff>
    </xdr:from>
    <xdr:to>
      <xdr:col>13</xdr:col>
      <xdr:colOff>63873</xdr:colOff>
      <xdr:row>24</xdr:row>
      <xdr:rowOff>167253</xdr:rowOff>
    </xdr:to>
    <xdr:cxnSp macro="">
      <xdr:nvCxnSpPr>
        <xdr:cNvPr id="66" name="Connector: Elbow 65">
          <a:extLst>
            <a:ext uri="{FF2B5EF4-FFF2-40B4-BE49-F238E27FC236}">
              <a16:creationId xmlns:a16="http://schemas.microsoft.com/office/drawing/2014/main" id="{2A217F52-3863-49DC-BA38-95B6E81FC219}"/>
            </a:ext>
          </a:extLst>
        </xdr:cNvPr>
        <xdr:cNvCxnSpPr>
          <a:stCxn id="61" idx="3"/>
          <a:endCxn id="28" idx="2"/>
        </xdr:cNvCxnSpPr>
      </xdr:nvCxnSpPr>
      <xdr:spPr>
        <a:xfrm flipV="1">
          <a:off x="2371725" y="4153465"/>
          <a:ext cx="5616948" cy="585788"/>
        </a:xfrm>
        <a:prstGeom prst="bentConnector2">
          <a:avLst/>
        </a:prstGeom>
        <a:ln>
          <a:solidFill>
            <a:schemeClr val="bg1">
              <a:lumMod val="8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400051</xdr:colOff>
      <xdr:row>21</xdr:row>
      <xdr:rowOff>152965</xdr:rowOff>
    </xdr:from>
    <xdr:to>
      <xdr:col>13</xdr:col>
      <xdr:colOff>63873</xdr:colOff>
      <xdr:row>28</xdr:row>
      <xdr:rowOff>167253</xdr:rowOff>
    </xdr:to>
    <xdr:cxnSp macro="">
      <xdr:nvCxnSpPr>
        <xdr:cNvPr id="67" name="Connector: Elbow 66">
          <a:extLst>
            <a:ext uri="{FF2B5EF4-FFF2-40B4-BE49-F238E27FC236}">
              <a16:creationId xmlns:a16="http://schemas.microsoft.com/office/drawing/2014/main" id="{873A3C56-84F0-47B4-9D37-47DCDF51B659}"/>
            </a:ext>
          </a:extLst>
        </xdr:cNvPr>
        <xdr:cNvCxnSpPr>
          <a:stCxn id="16" idx="3"/>
          <a:endCxn id="28" idx="2"/>
        </xdr:cNvCxnSpPr>
      </xdr:nvCxnSpPr>
      <xdr:spPr>
        <a:xfrm flipV="1">
          <a:off x="2228851" y="4153465"/>
          <a:ext cx="5759822" cy="1347788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401732</xdr:colOff>
      <xdr:row>14</xdr:row>
      <xdr:rowOff>110784</xdr:rowOff>
    </xdr:from>
    <xdr:to>
      <xdr:col>27</xdr:col>
      <xdr:colOff>316007</xdr:colOff>
      <xdr:row>16</xdr:row>
      <xdr:rowOff>53633</xdr:rowOff>
    </xdr:to>
    <xdr:sp macro="" textlink="">
      <xdr:nvSpPr>
        <xdr:cNvPr id="68" name="Rectangle: Rounded Corners 67">
          <a:extLst>
            <a:ext uri="{FF2B5EF4-FFF2-40B4-BE49-F238E27FC236}">
              <a16:creationId xmlns:a16="http://schemas.microsoft.com/office/drawing/2014/main" id="{771C6DCE-198D-4EB4-9111-F2E73B81C44A}"/>
            </a:ext>
          </a:extLst>
        </xdr:cNvPr>
        <xdr:cNvSpPr/>
      </xdr:nvSpPr>
      <xdr:spPr>
        <a:xfrm>
          <a:off x="16251332" y="2777784"/>
          <a:ext cx="523875" cy="323849"/>
        </a:xfrm>
        <a:prstGeom prst="roundRect">
          <a:avLst/>
        </a:prstGeom>
        <a:solidFill>
          <a:schemeClr val="bg1"/>
        </a:solidFill>
        <a:ln w="28575"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Filter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0ACFD5-D2A8-4CD3-B685-693E2DA8B35B}" name="Table1" displayName="Table1" ref="A8:Q17" totalsRowShown="0" headerRowDxfId="73" dataDxfId="72">
  <autoFilter ref="A8:Q17" xr:uid="{790ACFD5-D2A8-4CD3-B685-693E2DA8B35B}"/>
  <tableColumns count="17">
    <tableColumn id="1" xr3:uid="{8674421B-9CCE-42B9-B726-470146EEAD10}" name="Req#" dataDxfId="50">
      <calculatedColumnFormula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calculatedColumnFormula>
    </tableColumn>
    <tableColumn id="19" xr3:uid="{9D1FE70A-21FC-4A81-9CBA-57EBE37EF3D0}" name="Priority" dataDxfId="71"/>
    <tableColumn id="2" xr3:uid="{A3568B5C-DB58-4F11-A2B8-A2655FE1D4CF}" name="Requirement" dataDxfId="70"/>
    <tableColumn id="3" xr3:uid="{EBBDC3E1-8C0F-4439-92A6-2BA4E5CD2A36}" name="Reason" dataDxfId="69"/>
    <tableColumn id="4" xr3:uid="{C2192A14-CF51-487A-BFC6-3701BF806755}" name="Category" dataDxfId="68"/>
    <tableColumn id="9" xr3:uid="{FE55BFCE-76F3-4BD4-A597-B544B41748CF}" name="Status" dataDxfId="67"/>
    <tableColumn id="10" xr3:uid="{C2DF750A-8BF6-4D2A-A461-1B2EE408DDBB}" name="Comments" dataDxfId="66"/>
    <tableColumn id="7" xr3:uid="{83ABD35E-93F3-4FE1-9AB6-E668DDFFB551}" name="Func#" dataDxfId="65"/>
    <tableColumn id="8" xr3:uid="{5DF0715C-86C9-445E-A1AD-FFC7C6A25E81}" name="Test Cases" dataDxfId="64"/>
    <tableColumn id="11" xr3:uid="{0055D444-F14B-41DC-833D-42D46117ECB7}" name="L1" dataDxfId="63">
      <calculatedColumnFormula array="1">IF( OutlineLevel&lt;VALUE(RIGHT(J$8,1)), "",  IF( ISNUMBER(OFFSET(J9,-1,0)), OFFSET(J9,-1,0)+IF(OutlineLevel=VALUE(RIGHT(J$8,1)),1,0),1) )</calculatedColumnFormula>
    </tableColumn>
    <tableColumn id="12" xr3:uid="{E90A2CB2-8CBB-4773-817A-4B7C2A6A8244}" name="L2" dataDxfId="62">
      <calculatedColumnFormula array="1">IF( OutlineLevel&lt;VALUE(RIGHT(K$8,1)), "",  IF( ISNUMBER(OFFSET(K9,-1,0)), OFFSET(K9,-1,0)+IF(OutlineLevel=VALUE(RIGHT(K$8,1)),1,0),1) )</calculatedColumnFormula>
    </tableColumn>
    <tableColumn id="13" xr3:uid="{D5768DD0-658D-4663-8189-09B3679AE46D}" name="L3" dataDxfId="61">
      <calculatedColumnFormula array="1">IF( OutlineLevel&lt;VALUE(RIGHT(L$8,1)), "",  IF( ISNUMBER(OFFSET(L9,-1,0)), OFFSET(L9,-1,0)+IF(OutlineLevel=VALUE(RIGHT(L$8,1)),1,0),1) )</calculatedColumnFormula>
    </tableColumn>
    <tableColumn id="17" xr3:uid="{83826750-C986-43BC-9827-71A819EC04FE}" name="L4" dataDxfId="60">
      <calculatedColumnFormula array="1">IF( OutlineLevel&lt;VALUE(RIGHT(M$8,1)), "",  IF( ISNUMBER(OFFSET(M9,-1,0)), OFFSET(M9,-1,0)+IF(OutlineLevel=VALUE(RIGHT(M$8,1)),1,0),1) )</calculatedColumnFormula>
    </tableColumn>
    <tableColumn id="18" xr3:uid="{3669053F-25AA-4C83-A0B3-73F5ADC2AC7B}" name="L5" dataDxfId="59">
      <calculatedColumnFormula array="1">IF( OutlineLevel&lt;VALUE(RIGHT(N$8,1)), "",  IF( ISNUMBER(OFFSET(N9,-1,0)), OFFSET(N9,-1,0)+IF(OutlineLevel=VALUE(RIGHT(N$8,1)),1,0),1) )</calculatedColumnFormula>
    </tableColumn>
    <tableColumn id="14" xr3:uid="{D0EA421B-A141-41AD-904E-B2889D025276}" name="L6" dataDxfId="58">
      <calculatedColumnFormula array="1">IF( OutlineLevel&lt;VALUE(RIGHT(O$8,1)), "",  IF( ISNUMBER(OFFSET(O9,-1,0)), OFFSET(O9,-1,0)+IF(OutlineLevel=VALUE(RIGHT(O$8,1)),1,0),1) )</calculatedColumnFormula>
    </tableColumn>
    <tableColumn id="15" xr3:uid="{A3A5CCA8-E5D2-4348-B4AF-9A40710DFB87}" name="isGroup" dataDxfId="57">
      <calculatedColumnFormula>Table1[[#This Row],[Level]]&lt;OFFSET(P9,1,1)</calculatedColumnFormula>
    </tableColumn>
    <tableColumn id="16" xr3:uid="{A046F821-2967-469B-A8E7-41EAD940C853}" name="Level" dataDxfId="56">
      <calculatedColumnFormula array="1">OutlineLevel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336BFD-F1C5-425F-A479-E4387CF15B17}" name="Table2" displayName="Table2" ref="F1:H6" totalsRowShown="0" headerRowDxfId="55" dataDxfId="54">
  <autoFilter ref="F1:H6" xr:uid="{80336BFD-F1C5-425F-A479-E4387CF15B17}"/>
  <tableColumns count="3">
    <tableColumn id="1" xr3:uid="{6D030546-8FB1-4437-88D3-D5B8C3C08322}" name="Priority" dataDxfId="53"/>
    <tableColumn id="2" xr3:uid="{5BF53730-4138-414E-90A4-A2B5BCF42C6C}" name="Category" dataDxfId="52"/>
    <tableColumn id="3" xr3:uid="{BFA57457-9186-47A0-826A-FC765D3D9969}" name="Status" dataDxfId="5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EB1E48-573C-46CF-8754-0D40D021D295}" name="Table14" displayName="Table14" ref="A8:Q17" totalsRowShown="0" headerRowDxfId="49" dataDxfId="48">
  <autoFilter ref="A8:Q17" xr:uid="{790ACFD5-D2A8-4CD3-B685-693E2DA8B35B}"/>
  <tableColumns count="17">
    <tableColumn id="1" xr3:uid="{A15188D8-8C49-4035-8C3B-E7BC46847716}" name="Req#" dataDxfId="47">
      <calculatedColumnFormula>$A$7&amp;":"&amp;Table14[[#This Row],[L1]]&amp;IF(ISNUMBER(Table14[[#This Row],[L2]]),"."&amp;Table14[[#This Row],[L2]],"")&amp;IF(ISNUMBER(Table14[[#This Row],[L3]]),"."&amp;Table14[[#This Row],[L3]],"")&amp;IF(ISNUMBER(Table14[[#This Row],[L4]]),"."&amp;Table14[[#This Row],[L4]],"")&amp;IF(ISNUMBER(Table14[[#This Row],[L5]]),"."&amp;Table14[[#This Row],[L5]],"")&amp;IF(ISNUMBER(Table14[[#This Row],[L6]]),"."&amp;Table14[[#This Row],[L6]],"")</calculatedColumnFormula>
    </tableColumn>
    <tableColumn id="19" xr3:uid="{ECF7260D-45F1-44E6-8D6A-522FC6767324}" name="Priority" dataDxfId="46"/>
    <tableColumn id="2" xr3:uid="{F213CD8A-14FF-4195-8B60-43D712ED89A2}" name="Requirement" dataDxfId="45"/>
    <tableColumn id="3" xr3:uid="{9E3BC21D-38B7-4F5C-9FA9-600741B96A7D}" name="Reason" dataDxfId="44"/>
    <tableColumn id="4" xr3:uid="{1C0A9EBF-D0A0-491E-9C68-4A1C0D56511C}" name="Category" dataDxfId="43"/>
    <tableColumn id="9" xr3:uid="{D8E27AF3-CACD-45B1-91CE-23950071E915}" name="Status" dataDxfId="42"/>
    <tableColumn id="10" xr3:uid="{1F2E44B3-AA54-4A00-AAA7-BF830BE6EA94}" name="Comments" dataDxfId="41"/>
    <tableColumn id="7" xr3:uid="{817012F0-8DF9-4032-8661-4B669BA975F9}" name="Func#" dataDxfId="40"/>
    <tableColumn id="8" xr3:uid="{56D511D2-3E56-4442-B71C-FF269384BFDD}" name="Test Cases" dataDxfId="39"/>
    <tableColumn id="11" xr3:uid="{51D85EAE-CC25-4A3D-BF39-3D3A1A9CC97D}" name="L1" dataDxfId="7">
      <calculatedColumnFormula array="1">IF( OutlineLevel&lt;VALUE(RIGHT(J$8,1)), "",  IF( ISNUMBER(OFFSET(J9,-1,0)), OFFSET(J9,-1,0)+IF(OutlineLevel=VALUE(RIGHT(J$8,1)),1,0),1) )</calculatedColumnFormula>
    </tableColumn>
    <tableColumn id="12" xr3:uid="{E11E8031-F518-4A0C-A42D-37BB890F3225}" name="L2" dataDxfId="6">
      <calculatedColumnFormula array="1">IF( OutlineLevel&lt;VALUE(RIGHT(K$8,1)), "",  IF( ISNUMBER(OFFSET(K9,-1,0)), OFFSET(K9,-1,0)+IF(OutlineLevel=VALUE(RIGHT(K$8,1)),1,0),1) )</calculatedColumnFormula>
    </tableColumn>
    <tableColumn id="13" xr3:uid="{606C573A-F632-436C-9566-B227F7DE8D1F}" name="L3" dataDxfId="5">
      <calculatedColumnFormula array="1">IF( OutlineLevel&lt;VALUE(RIGHT(L$8,1)), "",  IF( ISNUMBER(OFFSET(L9,-1,0)), OFFSET(L9,-1,0)+IF(OutlineLevel=VALUE(RIGHT(L$8,1)),1,0),1) )</calculatedColumnFormula>
    </tableColumn>
    <tableColumn id="17" xr3:uid="{D9013C32-283C-4846-8F95-6BB5ED0EB006}" name="L4" dataDxfId="4">
      <calculatedColumnFormula array="1">IF( OutlineLevel&lt;VALUE(RIGHT(M$8,1)), "",  IF( ISNUMBER(OFFSET(M9,-1,0)), OFFSET(M9,-1,0)+IF(OutlineLevel=VALUE(RIGHT(M$8,1)),1,0),1) )</calculatedColumnFormula>
    </tableColumn>
    <tableColumn id="18" xr3:uid="{2CE4E7C5-D010-4F9B-ADE6-B2C639AC996B}" name="L5" dataDxfId="3">
      <calculatedColumnFormula array="1">IF( OutlineLevel&lt;VALUE(RIGHT(N$8,1)), "",  IF( ISNUMBER(OFFSET(N9,-1,0)), OFFSET(N9,-1,0)+IF(OutlineLevel=VALUE(RIGHT(N$8,1)),1,0),1) )</calculatedColumnFormula>
    </tableColumn>
    <tableColumn id="14" xr3:uid="{BB79CF10-2A4C-4BF8-A41F-6541D071C770}" name="L6" dataDxfId="2">
      <calculatedColumnFormula array="1">IF( OutlineLevel&lt;VALUE(RIGHT(O$8,1)), "",  IF( ISNUMBER(OFFSET(O9,-1,0)), OFFSET(O9,-1,0)+IF(OutlineLevel=VALUE(RIGHT(O$8,1)),1,0),1) )</calculatedColumnFormula>
    </tableColumn>
    <tableColumn id="15" xr3:uid="{14DE6BF2-3770-4DA6-A298-3901714DC96C}" name="isGroup" dataDxfId="1">
      <calculatedColumnFormula>Table14[[#This Row],[Level]]&lt;OFFSET(P9,1,1)</calculatedColumnFormula>
    </tableColumn>
    <tableColumn id="16" xr3:uid="{4F1AB28B-9CA5-4339-BCE3-3473AF932D46}" name="Level" dataDxfId="0">
      <calculatedColumnFormula array="1">OutlineLevel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3C475AA-87DB-43C7-9717-514CF521D1B0}" name="Table25" displayName="Table25" ref="F1:H6" totalsRowShown="0" headerRowDxfId="38" dataDxfId="37">
  <autoFilter ref="F1:H6" xr:uid="{80336BFD-F1C5-425F-A479-E4387CF15B17}"/>
  <tableColumns count="3">
    <tableColumn id="1" xr3:uid="{8D31E46A-7686-483A-8CF4-34C94F9EB23D}" name="Priority" dataDxfId="36"/>
    <tableColumn id="2" xr3:uid="{B9260D54-767B-4076-9156-E1FC1D483669}" name="Category" dataDxfId="35"/>
    <tableColumn id="3" xr3:uid="{CCAABBB8-25A0-4C69-A725-F5E505509B3C}" name="Status" dataDxfId="3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EA2D3-7BC8-45F5-9F3E-8BBF7FFBE6E1}">
  <sheetPr codeName="Sheet1">
    <outlinePr summaryBelow="0"/>
    <pageSetUpPr fitToPage="1"/>
  </sheetPr>
  <dimension ref="A1:Q17"/>
  <sheetViews>
    <sheetView workbookViewId="0"/>
  </sheetViews>
  <sheetFormatPr defaultRowHeight="15" outlineLevelRow="2" outlineLevelCol="1" x14ac:dyDescent="0.25"/>
  <cols>
    <col min="1" max="1" width="12" style="2" customWidth="1"/>
    <col min="2" max="2" width="8.28515625" style="2" customWidth="1"/>
    <col min="3" max="3" width="38.28515625" style="2" customWidth="1"/>
    <col min="4" max="4" width="39.85546875" style="2" customWidth="1"/>
    <col min="5" max="5" width="15.28515625" style="2" customWidth="1"/>
    <col min="6" max="6" width="16.42578125" style="2" customWidth="1"/>
    <col min="7" max="7" width="30" style="2" customWidth="1"/>
    <col min="8" max="8" width="18.42578125" style="2" bestFit="1" customWidth="1"/>
    <col min="9" max="9" width="22.28515625" style="2" customWidth="1" collapsed="1"/>
    <col min="10" max="15" width="6" style="2" hidden="1" customWidth="1" outlineLevel="1"/>
    <col min="16" max="16" width="10.28515625" style="2" hidden="1" customWidth="1" outlineLevel="1"/>
    <col min="17" max="17" width="8.28515625" style="2" customWidth="1" collapsed="1"/>
    <col min="18" max="18" width="1.7109375" style="2" customWidth="1"/>
    <col min="19" max="16384" width="9.140625" style="2"/>
  </cols>
  <sheetData>
    <row r="1" spans="1:17" ht="28.5" x14ac:dyDescent="0.25">
      <c r="A1" s="1" t="s">
        <v>2</v>
      </c>
      <c r="F1" s="2" t="s">
        <v>54</v>
      </c>
      <c r="G1" s="2" t="s">
        <v>23</v>
      </c>
      <c r="H1" s="2" t="s">
        <v>6</v>
      </c>
    </row>
    <row r="2" spans="1:17" x14ac:dyDescent="0.25">
      <c r="A2" s="12" t="s">
        <v>0</v>
      </c>
      <c r="B2" s="13"/>
      <c r="C2" s="12" t="s">
        <v>1</v>
      </c>
      <c r="D2" s="13"/>
      <c r="F2" s="2" t="s">
        <v>24</v>
      </c>
      <c r="G2" s="2" t="s">
        <v>50</v>
      </c>
      <c r="H2" s="2" t="s">
        <v>32</v>
      </c>
    </row>
    <row r="3" spans="1:17" x14ac:dyDescent="0.25">
      <c r="A3" s="10" t="s">
        <v>8</v>
      </c>
      <c r="B3" s="11"/>
      <c r="C3" s="10" t="s">
        <v>47</v>
      </c>
      <c r="D3" s="11"/>
      <c r="F3" s="2" t="s">
        <v>25</v>
      </c>
      <c r="G3" s="2" t="s">
        <v>22</v>
      </c>
      <c r="H3" s="2" t="s">
        <v>34</v>
      </c>
    </row>
    <row r="4" spans="1:17" x14ac:dyDescent="0.25">
      <c r="A4" s="12" t="s">
        <v>3</v>
      </c>
      <c r="B4" s="13"/>
      <c r="C4" s="12" t="s">
        <v>4</v>
      </c>
      <c r="D4" s="13"/>
      <c r="F4" s="2" t="s">
        <v>26</v>
      </c>
      <c r="G4" s="2" t="s">
        <v>21</v>
      </c>
      <c r="H4" s="2" t="s">
        <v>35</v>
      </c>
    </row>
    <row r="5" spans="1:17" x14ac:dyDescent="0.25">
      <c r="A5" s="10"/>
      <c r="B5" s="11"/>
      <c r="C5" s="14">
        <v>45345</v>
      </c>
      <c r="D5" s="15"/>
      <c r="F5" s="2" t="s">
        <v>36</v>
      </c>
      <c r="G5" s="2" t="s">
        <v>19</v>
      </c>
      <c r="H5" s="2" t="s">
        <v>33</v>
      </c>
    </row>
    <row r="6" spans="1:17" x14ac:dyDescent="0.25">
      <c r="F6" s="2" t="s">
        <v>37</v>
      </c>
      <c r="J6" s="3"/>
      <c r="K6" s="3"/>
      <c r="L6" s="3"/>
      <c r="M6" s="3"/>
      <c r="N6" s="3"/>
      <c r="O6" s="3"/>
    </row>
    <row r="7" spans="1:17" ht="21" x14ac:dyDescent="0.25">
      <c r="A7" s="16" t="s">
        <v>55</v>
      </c>
      <c r="J7" s="3"/>
      <c r="K7" s="3"/>
      <c r="L7" s="3"/>
      <c r="M7" s="3"/>
      <c r="N7" s="3"/>
      <c r="O7" s="3"/>
    </row>
    <row r="8" spans="1:17" ht="15.75" x14ac:dyDescent="0.25">
      <c r="A8" s="5" t="s">
        <v>13</v>
      </c>
      <c r="B8" s="6" t="s">
        <v>54</v>
      </c>
      <c r="C8" s="5" t="s">
        <v>17</v>
      </c>
      <c r="D8" s="5" t="s">
        <v>18</v>
      </c>
      <c r="E8" s="5" t="s">
        <v>23</v>
      </c>
      <c r="F8" s="5" t="s">
        <v>6</v>
      </c>
      <c r="G8" s="5" t="s">
        <v>7</v>
      </c>
      <c r="H8" s="5" t="s">
        <v>46</v>
      </c>
      <c r="I8" s="5" t="s">
        <v>5</v>
      </c>
      <c r="J8" s="6" t="s">
        <v>9</v>
      </c>
      <c r="K8" s="6" t="s">
        <v>10</v>
      </c>
      <c r="L8" s="6" t="s">
        <v>11</v>
      </c>
      <c r="M8" s="6" t="s">
        <v>12</v>
      </c>
      <c r="N8" s="6" t="s">
        <v>15</v>
      </c>
      <c r="O8" s="6" t="s">
        <v>16</v>
      </c>
      <c r="P8" s="5" t="s">
        <v>14</v>
      </c>
      <c r="Q8" s="9" t="s">
        <v>27</v>
      </c>
    </row>
    <row r="9" spans="1:17" x14ac:dyDescent="0.25">
      <c r="A9" s="2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USR:1</v>
      </c>
      <c r="B9" s="3" t="s">
        <v>36</v>
      </c>
      <c r="C9" s="4" t="s">
        <v>28</v>
      </c>
      <c r="D9" s="4" t="s">
        <v>29</v>
      </c>
      <c r="E9" s="7" t="s">
        <v>19</v>
      </c>
      <c r="F9" s="7"/>
      <c r="G9" s="4"/>
      <c r="H9" s="4"/>
      <c r="I9" s="4"/>
      <c r="J9" s="3" cm="1">
        <f t="array" aca="1" ref="J9" ca="1">IF( OutlineLevel&lt;VALUE(RIGHT(J$8,1)), "",  IF( ISNUMBER(OFFSET(J9,-1,0)), OFFSET(J9,-1,0)+IF(OutlineLevel=VALUE(RIGHT(J$8,1)),1,0),1) )</f>
        <v>1</v>
      </c>
      <c r="K9" s="3" t="str" cm="1">
        <f t="array" aca="1" ref="K9" ca="1">IF( OutlineLevel&lt;VALUE(RIGHT(K$8,1)), "",  IF( ISNUMBER(OFFSET(K9,-1,0)), OFFSET(K9,-1,0)+IF(OutlineLevel=VALUE(RIGHT(K$8,1)),1,0),1) )</f>
        <v/>
      </c>
      <c r="L9" s="3" t="str" cm="1">
        <f t="array" aca="1" ref="L9" ca="1">IF( OutlineLevel&lt;VALUE(RIGHT(L$8,1)), "",  IF( ISNUMBER(OFFSET(L9,-1,0)), OFFSET(L9,-1,0)+IF(OutlineLevel=VALUE(RIGHT(L$8,1)),1,0),1) )</f>
        <v/>
      </c>
      <c r="M9" s="3" t="str" cm="1">
        <f t="array" aca="1" ref="M9" ca="1">IF( OutlineLevel&lt;VALUE(RIGHT(M$8,1)), "",  IF( ISNUMBER(OFFSET(M9,-1,0)), OFFSET(M9,-1,0)+IF(OutlineLevel=VALUE(RIGHT(M$8,1)),1,0),1) )</f>
        <v/>
      </c>
      <c r="N9" s="3" t="str" cm="1">
        <f t="array" aca="1" ref="N9" ca="1">IF( OutlineLevel&lt;VALUE(RIGHT(N$8,1)), "",  IF( ISNUMBER(OFFSET(N9,-1,0)), OFFSET(N9,-1,0)+IF(OutlineLevel=VALUE(RIGHT(N$8,1)),1,0),1) )</f>
        <v/>
      </c>
      <c r="O9" s="3" t="str" cm="1">
        <f t="array" aca="1" ref="O9" ca="1">IF( OutlineLevel&lt;VALUE(RIGHT(O$8,1)), "",  IF( ISNUMBER(OFFSET(O9,-1,0)), OFFSET(O9,-1,0)+IF(OutlineLevel=VALUE(RIGHT(O$8,1)),1,0),1) )</f>
        <v/>
      </c>
      <c r="P9" s="3" t="b">
        <f ca="1">Table1[[#This Row],[Level]]&lt;OFFSET(P9,1,1)</f>
        <v>1</v>
      </c>
      <c r="Q9" s="3" cm="1">
        <f t="array" ref="Q9">OutlineLevel</f>
        <v>1</v>
      </c>
    </row>
    <row r="10" spans="1:17" ht="30" outlineLevel="1" x14ac:dyDescent="0.25">
      <c r="A10" s="2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USR:1.1</v>
      </c>
      <c r="B10" s="3" t="s">
        <v>24</v>
      </c>
      <c r="C10" s="4" t="s">
        <v>30</v>
      </c>
      <c r="D10" s="4" t="s">
        <v>31</v>
      </c>
      <c r="E10" s="7" t="s">
        <v>19</v>
      </c>
      <c r="F10" s="7" t="s">
        <v>35</v>
      </c>
      <c r="G10" s="4"/>
      <c r="H10" s="4"/>
      <c r="I10" s="4"/>
      <c r="J10" s="3" cm="1">
        <f t="array" aca="1" ref="J10" ca="1">IF( OutlineLevel&lt;VALUE(RIGHT(J$8,1)), "",  IF( ISNUMBER(OFFSET(J10,-1,0)), OFFSET(J10,-1,0)+IF(OutlineLevel=VALUE(RIGHT(J$8,1)),1,0),1) )</f>
        <v>1</v>
      </c>
      <c r="K10" s="3" cm="1">
        <f t="array" aca="1" ref="K10" ca="1">IF( OutlineLevel&lt;VALUE(RIGHT(K$8,1)), "",  IF( ISNUMBER(OFFSET(K10,-1,0)), OFFSET(K10,-1,0)+IF(OutlineLevel=VALUE(RIGHT(K$8,1)),1,0),1) )</f>
        <v>1</v>
      </c>
      <c r="L10" s="3" t="str" cm="1">
        <f t="array" aca="1" ref="L10" ca="1">IF( OutlineLevel&lt;VALUE(RIGHT(L$8,1)), "",  IF( ISNUMBER(OFFSET(L10,-1,0)), OFFSET(L10,-1,0)+IF(OutlineLevel=VALUE(RIGHT(L$8,1)),1,0),1) )</f>
        <v/>
      </c>
      <c r="M10" s="3" t="str" cm="1">
        <f t="array" aca="1" ref="M10" ca="1">IF( OutlineLevel&lt;VALUE(RIGHT(M$8,1)), "",  IF( ISNUMBER(OFFSET(M10,-1,0)), OFFSET(M10,-1,0)+IF(OutlineLevel=VALUE(RIGHT(M$8,1)),1,0),1) )</f>
        <v/>
      </c>
      <c r="N10" s="3" t="str" cm="1">
        <f t="array" aca="1" ref="N10" ca="1">IF( OutlineLevel&lt;VALUE(RIGHT(N$8,1)), "",  IF( ISNUMBER(OFFSET(N10,-1,0)), OFFSET(N10,-1,0)+IF(OutlineLevel=VALUE(RIGHT(N$8,1)),1,0),1) )</f>
        <v/>
      </c>
      <c r="O10" s="3" t="str" cm="1">
        <f t="array" aca="1" ref="O10" ca="1">IF( OutlineLevel&lt;VALUE(RIGHT(O$8,1)), "",  IF( ISNUMBER(OFFSET(O10,-1,0)), OFFSET(O10,-1,0)+IF(OutlineLevel=VALUE(RIGHT(O$8,1)),1,0),1) )</f>
        <v/>
      </c>
      <c r="P10" s="3" t="b">
        <f ca="1">Table1[[#This Row],[Level]]&lt;OFFSET(P10,1,1)</f>
        <v>1</v>
      </c>
      <c r="Q10" s="3" cm="1">
        <f t="array" ref="Q10">OutlineLevel</f>
        <v>2</v>
      </c>
    </row>
    <row r="11" spans="1:17" ht="30" outlineLevel="2" x14ac:dyDescent="0.25">
      <c r="A11" s="2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USR:1.1.1</v>
      </c>
      <c r="B11" s="3" t="s">
        <v>24</v>
      </c>
      <c r="C11" s="4" t="s">
        <v>44</v>
      </c>
      <c r="D11" s="4" t="s">
        <v>38</v>
      </c>
      <c r="E11" s="7" t="s">
        <v>19</v>
      </c>
      <c r="F11" s="7" t="s">
        <v>35</v>
      </c>
      <c r="G11" s="4"/>
      <c r="H11" s="4"/>
      <c r="I11" s="4"/>
      <c r="J11" s="3" cm="1">
        <f t="array" aca="1" ref="J11" ca="1">IF( OutlineLevel&lt;VALUE(RIGHT(J$8,1)), "",  IF( ISNUMBER(OFFSET(J11,-1,0)), OFFSET(J11,-1,0)+IF(OutlineLevel=VALUE(RIGHT(J$8,1)),1,0),1) )</f>
        <v>1</v>
      </c>
      <c r="K11" s="3" cm="1">
        <f t="array" aca="1" ref="K11" ca="1">IF( OutlineLevel&lt;VALUE(RIGHT(K$8,1)), "",  IF( ISNUMBER(OFFSET(K11,-1,0)), OFFSET(K11,-1,0)+IF(OutlineLevel=VALUE(RIGHT(K$8,1)),1,0),1) )</f>
        <v>1</v>
      </c>
      <c r="L11" s="3" cm="1">
        <f t="array" aca="1" ref="L11" ca="1">IF( OutlineLevel&lt;VALUE(RIGHT(L$8,1)), "",  IF( ISNUMBER(OFFSET(L11,-1,0)), OFFSET(L11,-1,0)+IF(OutlineLevel=VALUE(RIGHT(L$8,1)),1,0),1) )</f>
        <v>1</v>
      </c>
      <c r="M11" s="3" t="str" cm="1">
        <f t="array" aca="1" ref="M11" ca="1">IF( OutlineLevel&lt;VALUE(RIGHT(M$8,1)), "",  IF( ISNUMBER(OFFSET(M11,-1,0)), OFFSET(M11,-1,0)+IF(OutlineLevel=VALUE(RIGHT(M$8,1)),1,0),1) )</f>
        <v/>
      </c>
      <c r="N11" s="3" t="str" cm="1">
        <f t="array" aca="1" ref="N11" ca="1">IF( OutlineLevel&lt;VALUE(RIGHT(N$8,1)), "",  IF( ISNUMBER(OFFSET(N11,-1,0)), OFFSET(N11,-1,0)+IF(OutlineLevel=VALUE(RIGHT(N$8,1)),1,0),1) )</f>
        <v/>
      </c>
      <c r="O11" s="3" t="str" cm="1">
        <f t="array" aca="1" ref="O11" ca="1">IF( OutlineLevel&lt;VALUE(RIGHT(O$8,1)), "",  IF( ISNUMBER(OFFSET(O11,-1,0)), OFFSET(O11,-1,0)+IF(OutlineLevel=VALUE(RIGHT(O$8,1)),1,0),1) )</f>
        <v/>
      </c>
      <c r="P11" s="3" t="b">
        <f ca="1">Table1[[#This Row],[Level]]&lt;OFFSET(P11,1,1)</f>
        <v>0</v>
      </c>
      <c r="Q11" s="3" cm="1">
        <f t="array" ref="Q11">OutlineLevel</f>
        <v>3</v>
      </c>
    </row>
    <row r="12" spans="1:17" ht="45" outlineLevel="2" x14ac:dyDescent="0.25">
      <c r="A12" s="2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USR:1.1.2</v>
      </c>
      <c r="B12" s="3" t="s">
        <v>24</v>
      </c>
      <c r="C12" s="4" t="s">
        <v>48</v>
      </c>
      <c r="D12" s="4"/>
      <c r="E12" s="7" t="s">
        <v>19</v>
      </c>
      <c r="F12" s="7" t="s">
        <v>35</v>
      </c>
      <c r="G12" s="4" t="s">
        <v>45</v>
      </c>
      <c r="H12" s="4"/>
      <c r="I12" s="4"/>
      <c r="J12" s="3" cm="1">
        <f t="array" aca="1" ref="J12" ca="1">IF( OutlineLevel&lt;VALUE(RIGHT(J$8,1)), "",  IF( ISNUMBER(OFFSET(J12,-1,0)), OFFSET(J12,-1,0)+IF(OutlineLevel=VALUE(RIGHT(J$8,1)),1,0),1) )</f>
        <v>1</v>
      </c>
      <c r="K12" s="3" cm="1">
        <f t="array" aca="1" ref="K12" ca="1">IF( OutlineLevel&lt;VALUE(RIGHT(K$8,1)), "",  IF( ISNUMBER(OFFSET(K12,-1,0)), OFFSET(K12,-1,0)+IF(OutlineLevel=VALUE(RIGHT(K$8,1)),1,0),1) )</f>
        <v>1</v>
      </c>
      <c r="L12" s="3" cm="1">
        <f t="array" aca="1" ref="L12" ca="1">IF( OutlineLevel&lt;VALUE(RIGHT(L$8,1)), "",  IF( ISNUMBER(OFFSET(L12,-1,0)), OFFSET(L12,-1,0)+IF(OutlineLevel=VALUE(RIGHT(L$8,1)),1,0),1) )</f>
        <v>2</v>
      </c>
      <c r="M12" s="3" t="str" cm="1">
        <f t="array" aca="1" ref="M12" ca="1">IF( OutlineLevel&lt;VALUE(RIGHT(M$8,1)), "",  IF( ISNUMBER(OFFSET(M12,-1,0)), OFFSET(M12,-1,0)+IF(OutlineLevel=VALUE(RIGHT(M$8,1)),1,0),1) )</f>
        <v/>
      </c>
      <c r="N12" s="3" t="str" cm="1">
        <f t="array" aca="1" ref="N12" ca="1">IF( OutlineLevel&lt;VALUE(RIGHT(N$8,1)), "",  IF( ISNUMBER(OFFSET(N12,-1,0)), OFFSET(N12,-1,0)+IF(OutlineLevel=VALUE(RIGHT(N$8,1)),1,0),1) )</f>
        <v/>
      </c>
      <c r="O12" s="3" t="str" cm="1">
        <f t="array" aca="1" ref="O12" ca="1">IF( OutlineLevel&lt;VALUE(RIGHT(O$8,1)), "",  IF( ISNUMBER(OFFSET(O12,-1,0)), OFFSET(O12,-1,0)+IF(OutlineLevel=VALUE(RIGHT(O$8,1)),1,0),1) )</f>
        <v/>
      </c>
      <c r="P12" s="3" t="b">
        <f ca="1">Table1[[#This Row],[Level]]&lt;OFFSET(P12,1,1)</f>
        <v>0</v>
      </c>
      <c r="Q12" s="3" cm="1">
        <f t="array" ref="Q12">OutlineLevel</f>
        <v>3</v>
      </c>
    </row>
    <row r="13" spans="1:17" ht="30" outlineLevel="2" x14ac:dyDescent="0.25">
      <c r="A13" s="2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USR:1.1.3</v>
      </c>
      <c r="B13" s="3" t="s">
        <v>24</v>
      </c>
      <c r="C13" s="4" t="s">
        <v>51</v>
      </c>
      <c r="D13" s="4" t="s">
        <v>39</v>
      </c>
      <c r="E13" s="7" t="s">
        <v>19</v>
      </c>
      <c r="F13" s="7" t="s">
        <v>35</v>
      </c>
      <c r="G13" s="4"/>
      <c r="H13" s="4"/>
      <c r="I13" s="4"/>
      <c r="J13" s="3" cm="1">
        <f t="array" aca="1" ref="J13" ca="1">IF( OutlineLevel&lt;VALUE(RIGHT(J$8,1)), "",  IF( ISNUMBER(OFFSET(J13,-1,0)), OFFSET(J13,-1,0)+IF(OutlineLevel=VALUE(RIGHT(J$8,1)),1,0),1) )</f>
        <v>1</v>
      </c>
      <c r="K13" s="3" cm="1">
        <f t="array" aca="1" ref="K13" ca="1">IF( OutlineLevel&lt;VALUE(RIGHT(K$8,1)), "",  IF( ISNUMBER(OFFSET(K13,-1,0)), OFFSET(K13,-1,0)+IF(OutlineLevel=VALUE(RIGHT(K$8,1)),1,0),1) )</f>
        <v>1</v>
      </c>
      <c r="L13" s="3" cm="1">
        <f t="array" aca="1" ref="L13" ca="1">IF( OutlineLevel&lt;VALUE(RIGHT(L$8,1)), "",  IF( ISNUMBER(OFFSET(L13,-1,0)), OFFSET(L13,-1,0)+IF(OutlineLevel=VALUE(RIGHT(L$8,1)),1,0),1) )</f>
        <v>3</v>
      </c>
      <c r="M13" s="3" t="str" cm="1">
        <f t="array" aca="1" ref="M13" ca="1">IF( OutlineLevel&lt;VALUE(RIGHT(M$8,1)), "",  IF( ISNUMBER(OFFSET(M13,-1,0)), OFFSET(M13,-1,0)+IF(OutlineLevel=VALUE(RIGHT(M$8,1)),1,0),1) )</f>
        <v/>
      </c>
      <c r="N13" s="3" t="str" cm="1">
        <f t="array" aca="1" ref="N13" ca="1">IF( OutlineLevel&lt;VALUE(RIGHT(N$8,1)), "",  IF( ISNUMBER(OFFSET(N13,-1,0)), OFFSET(N13,-1,0)+IF(OutlineLevel=VALUE(RIGHT(N$8,1)),1,0),1) )</f>
        <v/>
      </c>
      <c r="O13" s="3" t="str" cm="1">
        <f t="array" aca="1" ref="O13" ca="1">IF( OutlineLevel&lt;VALUE(RIGHT(O$8,1)), "",  IF( ISNUMBER(OFFSET(O13,-1,0)), OFFSET(O13,-1,0)+IF(OutlineLevel=VALUE(RIGHT(O$8,1)),1,0),1) )</f>
        <v/>
      </c>
      <c r="P13" s="3" t="b">
        <f ca="1">Table1[[#This Row],[Level]]&lt;OFFSET(P13,1,1)</f>
        <v>0</v>
      </c>
      <c r="Q13" s="3" cm="1">
        <f t="array" ref="Q13">OutlineLevel</f>
        <v>3</v>
      </c>
    </row>
    <row r="14" spans="1:17" ht="30" x14ac:dyDescent="0.25">
      <c r="A14" s="2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USR:2</v>
      </c>
      <c r="B14" s="3" t="s">
        <v>24</v>
      </c>
      <c r="C14" s="4" t="s">
        <v>49</v>
      </c>
      <c r="D14" s="4"/>
      <c r="E14" s="7"/>
      <c r="F14" s="7"/>
      <c r="G14" s="4"/>
      <c r="H14" s="4"/>
      <c r="I14" s="4"/>
      <c r="J14" s="3" cm="1">
        <f t="array" aca="1" ref="J14" ca="1">IF( OutlineLevel&lt;VALUE(RIGHT(J$8,1)), "",  IF( ISNUMBER(OFFSET(J14,-1,0)), OFFSET(J14,-1,0)+IF(OutlineLevel=VALUE(RIGHT(J$8,1)),1,0),1) )</f>
        <v>2</v>
      </c>
      <c r="K14" s="3" t="str" cm="1">
        <f t="array" aca="1" ref="K14" ca="1">IF( OutlineLevel&lt;VALUE(RIGHT(K$8,1)), "",  IF( ISNUMBER(OFFSET(K14,-1,0)), OFFSET(K14,-1,0)+IF(OutlineLevel=VALUE(RIGHT(K$8,1)),1,0),1) )</f>
        <v/>
      </c>
      <c r="L14" s="3" t="str" cm="1">
        <f t="array" aca="1" ref="L14" ca="1">IF( OutlineLevel&lt;VALUE(RIGHT(L$8,1)), "",  IF( ISNUMBER(OFFSET(L14,-1,0)), OFFSET(L14,-1,0)+IF(OutlineLevel=VALUE(RIGHT(L$8,1)),1,0),1) )</f>
        <v/>
      </c>
      <c r="M14" s="3" t="str" cm="1">
        <f t="array" aca="1" ref="M14" ca="1">IF( OutlineLevel&lt;VALUE(RIGHT(M$8,1)), "",  IF( ISNUMBER(OFFSET(M14,-1,0)), OFFSET(M14,-1,0)+IF(OutlineLevel=VALUE(RIGHT(M$8,1)),1,0),1) )</f>
        <v/>
      </c>
      <c r="N14" s="3" t="str" cm="1">
        <f t="array" aca="1" ref="N14" ca="1">IF( OutlineLevel&lt;VALUE(RIGHT(N$8,1)), "",  IF( ISNUMBER(OFFSET(N14,-1,0)), OFFSET(N14,-1,0)+IF(OutlineLevel=VALUE(RIGHT(N$8,1)),1,0),1) )</f>
        <v/>
      </c>
      <c r="O14" s="3" t="str" cm="1">
        <f t="array" aca="1" ref="O14" ca="1">IF( OutlineLevel&lt;VALUE(RIGHT(O$8,1)), "",  IF( ISNUMBER(OFFSET(O14,-1,0)), OFFSET(O14,-1,0)+IF(OutlineLevel=VALUE(RIGHT(O$8,1)),1,0),1) )</f>
        <v/>
      </c>
      <c r="P14" s="3" t="b">
        <f ca="1">Table1[[#This Row],[Level]]&lt;OFFSET(P14,1,1)</f>
        <v>1</v>
      </c>
      <c r="Q14" s="3" cm="1">
        <f t="array" ref="Q14">OutlineLevel</f>
        <v>1</v>
      </c>
    </row>
    <row r="15" spans="1:17" ht="30" outlineLevel="1" x14ac:dyDescent="0.25">
      <c r="A15" s="2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USR:2.1</v>
      </c>
      <c r="B15" s="3" t="s">
        <v>24</v>
      </c>
      <c r="C15" s="4" t="s">
        <v>40</v>
      </c>
      <c r="D15" s="4"/>
      <c r="E15" s="7" t="s">
        <v>19</v>
      </c>
      <c r="F15" s="7" t="s">
        <v>35</v>
      </c>
      <c r="G15" s="4"/>
      <c r="H15" s="4"/>
      <c r="I15" s="4"/>
      <c r="J15" s="3" cm="1">
        <f t="array" aca="1" ref="J15" ca="1">IF( OutlineLevel&lt;VALUE(RIGHT(J$8,1)), "",  IF( ISNUMBER(OFFSET(J15,-1,0)), OFFSET(J15,-1,0)+IF(OutlineLevel=VALUE(RIGHT(J$8,1)),1,0),1) )</f>
        <v>2</v>
      </c>
      <c r="K15" s="3" cm="1">
        <f t="array" aca="1" ref="K15" ca="1">IF( OutlineLevel&lt;VALUE(RIGHT(K$8,1)), "",  IF( ISNUMBER(OFFSET(K15,-1,0)), OFFSET(K15,-1,0)+IF(OutlineLevel=VALUE(RIGHT(K$8,1)),1,0),1) )</f>
        <v>1</v>
      </c>
      <c r="L15" s="3" t="str" cm="1">
        <f t="array" aca="1" ref="L15" ca="1">IF( OutlineLevel&lt;VALUE(RIGHT(L$8,1)), "",  IF( ISNUMBER(OFFSET(L15,-1,0)), OFFSET(L15,-1,0)+IF(OutlineLevel=VALUE(RIGHT(L$8,1)),1,0),1) )</f>
        <v/>
      </c>
      <c r="M15" s="3" t="str" cm="1">
        <f t="array" aca="1" ref="M15" ca="1">IF( OutlineLevel&lt;VALUE(RIGHT(M$8,1)), "",  IF( ISNUMBER(OFFSET(M15,-1,0)), OFFSET(M15,-1,0)+IF(OutlineLevel=VALUE(RIGHT(M$8,1)),1,0),1) )</f>
        <v/>
      </c>
      <c r="N15" s="3" t="str" cm="1">
        <f t="array" aca="1" ref="N15" ca="1">IF( OutlineLevel&lt;VALUE(RIGHT(N$8,1)), "",  IF( ISNUMBER(OFFSET(N15,-1,0)), OFFSET(N15,-1,0)+IF(OutlineLevel=VALUE(RIGHT(N$8,1)),1,0),1) )</f>
        <v/>
      </c>
      <c r="O15" s="3" t="str" cm="1">
        <f t="array" aca="1" ref="O15" ca="1">IF( OutlineLevel&lt;VALUE(RIGHT(O$8,1)), "",  IF( ISNUMBER(OFFSET(O15,-1,0)), OFFSET(O15,-1,0)+IF(OutlineLevel=VALUE(RIGHT(O$8,1)),1,0),1) )</f>
        <v/>
      </c>
      <c r="P15" s="3" t="b">
        <f ca="1">Table1[[#This Row],[Level]]&lt;OFFSET(P15,1,1)</f>
        <v>0</v>
      </c>
      <c r="Q15" s="3" cm="1">
        <f t="array" ref="Q15">OutlineLevel</f>
        <v>2</v>
      </c>
    </row>
    <row r="16" spans="1:17" ht="45" outlineLevel="1" x14ac:dyDescent="0.25">
      <c r="A16" s="2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USR:2.2</v>
      </c>
      <c r="B16" s="3" t="s">
        <v>24</v>
      </c>
      <c r="C16" s="4" t="s">
        <v>43</v>
      </c>
      <c r="D16" s="4" t="s">
        <v>41</v>
      </c>
      <c r="E16" s="7" t="s">
        <v>20</v>
      </c>
      <c r="F16" s="7" t="s">
        <v>35</v>
      </c>
      <c r="G16" s="8" t="s">
        <v>42</v>
      </c>
      <c r="H16" s="4"/>
      <c r="I16" s="4"/>
      <c r="J16" s="3" cm="1">
        <f t="array" aca="1" ref="J16" ca="1">IF( OutlineLevel&lt;VALUE(RIGHT(J$8,1)), "",  IF( ISNUMBER(OFFSET(J16,-1,0)), OFFSET(J16,-1,0)+IF(OutlineLevel=VALUE(RIGHT(J$8,1)),1,0),1) )</f>
        <v>2</v>
      </c>
      <c r="K16" s="3" cm="1">
        <f t="array" aca="1" ref="K16" ca="1">IF( OutlineLevel&lt;VALUE(RIGHT(K$8,1)), "",  IF( ISNUMBER(OFFSET(K16,-1,0)), OFFSET(K16,-1,0)+IF(OutlineLevel=VALUE(RIGHT(K$8,1)),1,0),1) )</f>
        <v>2</v>
      </c>
      <c r="L16" s="3" t="str" cm="1">
        <f t="array" aca="1" ref="L16" ca="1">IF( OutlineLevel&lt;VALUE(RIGHT(L$8,1)), "",  IF( ISNUMBER(OFFSET(L16,-1,0)), OFFSET(L16,-1,0)+IF(OutlineLevel=VALUE(RIGHT(L$8,1)),1,0),1) )</f>
        <v/>
      </c>
      <c r="M16" s="3" t="str" cm="1">
        <f t="array" aca="1" ref="M16" ca="1">IF( OutlineLevel&lt;VALUE(RIGHT(M$8,1)), "",  IF( ISNUMBER(OFFSET(M16,-1,0)), OFFSET(M16,-1,0)+IF(OutlineLevel=VALUE(RIGHT(M$8,1)),1,0),1) )</f>
        <v/>
      </c>
      <c r="N16" s="3" t="str" cm="1">
        <f t="array" aca="1" ref="N16" ca="1">IF( OutlineLevel&lt;VALUE(RIGHT(N$8,1)), "",  IF( ISNUMBER(OFFSET(N16,-1,0)), OFFSET(N16,-1,0)+IF(OutlineLevel=VALUE(RIGHT(N$8,1)),1,0),1) )</f>
        <v/>
      </c>
      <c r="O16" s="3" t="str" cm="1">
        <f t="array" aca="1" ref="O16" ca="1">IF( OutlineLevel&lt;VALUE(RIGHT(O$8,1)), "",  IF( ISNUMBER(OFFSET(O16,-1,0)), OFFSET(O16,-1,0)+IF(OutlineLevel=VALUE(RIGHT(O$8,1)),1,0),1) )</f>
        <v/>
      </c>
      <c r="P16" s="3" t="b">
        <f ca="1">Table1[[#This Row],[Level]]&lt;OFFSET(P16,1,1)</f>
        <v>0</v>
      </c>
      <c r="Q16" s="3" cm="1">
        <f t="array" ref="Q16">OutlineLevel</f>
        <v>2</v>
      </c>
    </row>
    <row r="17" spans="1:17" ht="30" x14ac:dyDescent="0.25">
      <c r="A17" s="2" t="str">
        <f ca="1">$A$7&amp;":"&amp;Table1[[#This Row],[L1]]&amp;IF(ISNUMBER(Table1[[#This Row],[L2]]),"."&amp;Table1[[#This Row],[L2]],"")&amp;IF(ISNUMBER(Table1[[#This Row],[L3]]),"."&amp;Table1[[#This Row],[L3]],"")&amp;IF(ISNUMBER(Table1[[#This Row],[L4]]),"."&amp;Table1[[#This Row],[L4]],"")&amp;IF(ISNUMBER(Table1[[#This Row],[L5]]),"."&amp;Table1[[#This Row],[L5]],"")&amp;IF(ISNUMBER(Table1[[#This Row],[L6]]),"."&amp;Table1[[#This Row],[L6]],"")</f>
        <v>USR:3</v>
      </c>
      <c r="B17" s="3" t="s">
        <v>24</v>
      </c>
      <c r="C17" s="4" t="s">
        <v>52</v>
      </c>
      <c r="D17" s="4"/>
      <c r="E17" s="7" t="s">
        <v>50</v>
      </c>
      <c r="F17" s="7"/>
      <c r="G17" s="4" t="s">
        <v>53</v>
      </c>
      <c r="H17" s="4"/>
      <c r="I17" s="4"/>
      <c r="J17" s="3" cm="1">
        <f t="array" aca="1" ref="J17" ca="1">IF( OutlineLevel&lt;VALUE(RIGHT(J$8,1)), "",  IF( ISNUMBER(OFFSET(J17,-1,0)), OFFSET(J17,-1,0)+IF(OutlineLevel=VALUE(RIGHT(J$8,1)),1,0),1) )</f>
        <v>3</v>
      </c>
      <c r="K17" s="3" t="str" cm="1">
        <f t="array" aca="1" ref="K17" ca="1">IF( OutlineLevel&lt;VALUE(RIGHT(K$8,1)), "",  IF( ISNUMBER(OFFSET(K17,-1,0)), OFFSET(K17,-1,0)+IF(OutlineLevel=VALUE(RIGHT(K$8,1)),1,0),1) )</f>
        <v/>
      </c>
      <c r="L17" s="3" t="str" cm="1">
        <f t="array" aca="1" ref="L17" ca="1">IF( OutlineLevel&lt;VALUE(RIGHT(L$8,1)), "",  IF( ISNUMBER(OFFSET(L17,-1,0)), OFFSET(L17,-1,0)+IF(OutlineLevel=VALUE(RIGHT(L$8,1)),1,0),1) )</f>
        <v/>
      </c>
      <c r="M17" s="3" t="str" cm="1">
        <f t="array" aca="1" ref="M17" ca="1">IF( OutlineLevel&lt;VALUE(RIGHT(M$8,1)), "",  IF( ISNUMBER(OFFSET(M17,-1,0)), OFFSET(M17,-1,0)+IF(OutlineLevel=VALUE(RIGHT(M$8,1)),1,0),1) )</f>
        <v/>
      </c>
      <c r="N17" s="3" t="str" cm="1">
        <f t="array" aca="1" ref="N17" ca="1">IF( OutlineLevel&lt;VALUE(RIGHT(N$8,1)), "",  IF( ISNUMBER(OFFSET(N17,-1,0)), OFFSET(N17,-1,0)+IF(OutlineLevel=VALUE(RIGHT(N$8,1)),1,0),1) )</f>
        <v/>
      </c>
      <c r="O17" s="3" t="str" cm="1">
        <f t="array" aca="1" ref="O17" ca="1">IF( OutlineLevel&lt;VALUE(RIGHT(O$8,1)), "",  IF( ISNUMBER(OFFSET(O17,-1,0)), OFFSET(O17,-1,0)+IF(OutlineLevel=VALUE(RIGHT(O$8,1)),1,0),1) )</f>
        <v/>
      </c>
      <c r="P17" s="3" t="b">
        <f ca="1">Table1[[#This Row],[Level]]&lt;OFFSET(P17,1,1)</f>
        <v>0</v>
      </c>
      <c r="Q17" s="3" cm="1">
        <f t="array" ref="Q17">OutlineLevel</f>
        <v>1</v>
      </c>
    </row>
  </sheetData>
  <mergeCells count="8">
    <mergeCell ref="A5:B5"/>
    <mergeCell ref="A4:B4"/>
    <mergeCell ref="A3:B3"/>
    <mergeCell ref="A2:B2"/>
    <mergeCell ref="C5:D5"/>
    <mergeCell ref="C4:D4"/>
    <mergeCell ref="C3:D3"/>
    <mergeCell ref="C2:D2"/>
  </mergeCells>
  <phoneticPr fontId="3" type="noConversion"/>
  <conditionalFormatting sqref="C9:C17">
    <cfRule type="expression" dxfId="33" priority="3" stopIfTrue="1">
      <formula>AND($Q9=1,$P9)</formula>
    </cfRule>
    <cfRule type="expression" dxfId="32" priority="4" stopIfTrue="1">
      <formula>AND($Q9=2,$P9)</formula>
    </cfRule>
    <cfRule type="expression" dxfId="31" priority="5" stopIfTrue="1">
      <formula>AND($Q9=3,$P9)</formula>
    </cfRule>
    <cfRule type="expression" dxfId="30" priority="6" stopIfTrue="1">
      <formula>AND($Q9=4,$P9)</formula>
    </cfRule>
    <cfRule type="expression" dxfId="29" priority="7" stopIfTrue="1">
      <formula>AND($Q9=5,$P9)</formula>
    </cfRule>
    <cfRule type="expression" dxfId="28" priority="8" stopIfTrue="1">
      <formula>$Q9=2</formula>
    </cfRule>
    <cfRule type="expression" dxfId="27" priority="9" stopIfTrue="1">
      <formula>$Q9=3</formula>
    </cfRule>
    <cfRule type="expression" dxfId="26" priority="10" stopIfTrue="1">
      <formula>$Q9=4</formula>
    </cfRule>
    <cfRule type="expression" dxfId="25" priority="11" stopIfTrue="1">
      <formula>$Q9=5</formula>
    </cfRule>
    <cfRule type="expression" dxfId="24" priority="12" stopIfTrue="1">
      <formula>$Q9&gt;=6</formula>
    </cfRule>
  </conditionalFormatting>
  <conditionalFormatting sqref="A9:Q17">
    <cfRule type="expression" dxfId="23" priority="1">
      <formula>ISEVEN($Q9)</formula>
    </cfRule>
    <cfRule type="expression" dxfId="22" priority="2">
      <formula>$Q9=1</formula>
    </cfRule>
  </conditionalFormatting>
  <dataValidations count="3">
    <dataValidation type="list" allowBlank="1" showInputMessage="1" showErrorMessage="1" sqref="B9:B17" xr:uid="{8B68E31F-5F58-45BA-B03B-F3A36C2924A8}">
      <formula1>$F$2:$F$6</formula1>
    </dataValidation>
    <dataValidation type="list" allowBlank="1" showInputMessage="1" showErrorMessage="1" sqref="F9:F17" xr:uid="{2E6638D5-7F8F-45C6-89FE-4136FDDA099A}">
      <formula1>$H$2:$H$6</formula1>
    </dataValidation>
    <dataValidation type="list" allowBlank="1" showInputMessage="1" showErrorMessage="1" sqref="E9:E17" xr:uid="{D4FA9FE3-58F7-4B5A-906C-FEB80E3ACDE4}">
      <formula1>$G$2:$G$5</formula1>
    </dataValidation>
  </dataValidations>
  <pageMargins left="0.7" right="0.7" top="0.75" bottom="0.75" header="0.3" footer="0.3"/>
  <pageSetup scale="58" fitToHeight="0" orientation="landscape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88505-B9AC-4516-85EA-7E12B891B219}">
  <sheetPr codeName="Sheet3">
    <outlinePr summaryBelow="0"/>
    <pageSetUpPr fitToPage="1"/>
  </sheetPr>
  <dimension ref="A1:Q17"/>
  <sheetViews>
    <sheetView workbookViewId="0"/>
  </sheetViews>
  <sheetFormatPr defaultRowHeight="15" outlineLevelRow="1" outlineLevelCol="1" x14ac:dyDescent="0.25"/>
  <cols>
    <col min="1" max="1" width="12" style="2" customWidth="1"/>
    <col min="2" max="2" width="8.28515625" style="2" customWidth="1"/>
    <col min="3" max="3" width="38.28515625" style="2" customWidth="1"/>
    <col min="4" max="4" width="39.85546875" style="2" customWidth="1"/>
    <col min="5" max="5" width="15.28515625" style="2" customWidth="1"/>
    <col min="6" max="6" width="16.42578125" style="2" customWidth="1"/>
    <col min="7" max="7" width="30" style="2" customWidth="1"/>
    <col min="8" max="8" width="18.42578125" style="2" bestFit="1" customWidth="1"/>
    <col min="9" max="9" width="22.28515625" style="2" customWidth="1" collapsed="1"/>
    <col min="10" max="15" width="6" style="2" hidden="1" customWidth="1" outlineLevel="1"/>
    <col min="16" max="16" width="10.28515625" style="2" hidden="1" customWidth="1" outlineLevel="1"/>
    <col min="17" max="17" width="8.28515625" style="2" customWidth="1" collapsed="1"/>
    <col min="18" max="18" width="1.7109375" style="2" customWidth="1"/>
    <col min="19" max="16384" width="9.140625" style="2"/>
  </cols>
  <sheetData>
    <row r="1" spans="1:17" ht="28.5" x14ac:dyDescent="0.25">
      <c r="A1" s="1" t="s">
        <v>2</v>
      </c>
      <c r="F1" s="2" t="s">
        <v>54</v>
      </c>
      <c r="G1" s="2" t="s">
        <v>23</v>
      </c>
      <c r="H1" s="2" t="s">
        <v>6</v>
      </c>
    </row>
    <row r="2" spans="1:17" x14ac:dyDescent="0.25">
      <c r="A2" s="12" t="s">
        <v>0</v>
      </c>
      <c r="B2" s="13"/>
      <c r="C2" s="12" t="s">
        <v>1</v>
      </c>
      <c r="D2" s="13"/>
      <c r="F2" s="2" t="s">
        <v>24</v>
      </c>
      <c r="G2" s="2" t="s">
        <v>50</v>
      </c>
      <c r="H2" s="2" t="s">
        <v>32</v>
      </c>
    </row>
    <row r="3" spans="1:17" x14ac:dyDescent="0.25">
      <c r="A3" s="10" t="s">
        <v>8</v>
      </c>
      <c r="B3" s="11"/>
      <c r="C3" s="10" t="s">
        <v>47</v>
      </c>
      <c r="D3" s="11"/>
      <c r="F3" s="2" t="s">
        <v>25</v>
      </c>
      <c r="G3" s="2" t="s">
        <v>22</v>
      </c>
      <c r="H3" s="2" t="s">
        <v>34</v>
      </c>
    </row>
    <row r="4" spans="1:17" x14ac:dyDescent="0.25">
      <c r="A4" s="12" t="s">
        <v>3</v>
      </c>
      <c r="B4" s="13"/>
      <c r="C4" s="12" t="s">
        <v>4</v>
      </c>
      <c r="D4" s="13"/>
      <c r="F4" s="2" t="s">
        <v>26</v>
      </c>
      <c r="G4" s="2" t="s">
        <v>21</v>
      </c>
      <c r="H4" s="2" t="s">
        <v>35</v>
      </c>
    </row>
    <row r="5" spans="1:17" x14ac:dyDescent="0.25">
      <c r="A5" s="10"/>
      <c r="B5" s="11"/>
      <c r="C5" s="14">
        <v>45345</v>
      </c>
      <c r="D5" s="15"/>
      <c r="F5" s="2" t="s">
        <v>36</v>
      </c>
      <c r="G5" s="2" t="s">
        <v>19</v>
      </c>
      <c r="H5" s="2" t="s">
        <v>33</v>
      </c>
    </row>
    <row r="6" spans="1:17" x14ac:dyDescent="0.25">
      <c r="F6" s="2" t="s">
        <v>37</v>
      </c>
      <c r="J6" s="3"/>
      <c r="K6" s="3"/>
      <c r="L6" s="3"/>
      <c r="M6" s="3"/>
      <c r="N6" s="3"/>
      <c r="O6" s="3"/>
    </row>
    <row r="7" spans="1:17" ht="21" x14ac:dyDescent="0.25">
      <c r="A7" s="16" t="s">
        <v>56</v>
      </c>
      <c r="J7" s="3"/>
      <c r="K7" s="3"/>
      <c r="L7" s="3"/>
      <c r="M7" s="3"/>
      <c r="N7" s="3"/>
      <c r="O7" s="3"/>
    </row>
    <row r="8" spans="1:17" ht="15.75" x14ac:dyDescent="0.25">
      <c r="A8" s="5" t="s">
        <v>13</v>
      </c>
      <c r="B8" s="6" t="s">
        <v>54</v>
      </c>
      <c r="C8" s="5" t="s">
        <v>17</v>
      </c>
      <c r="D8" s="5" t="s">
        <v>18</v>
      </c>
      <c r="E8" s="5" t="s">
        <v>23</v>
      </c>
      <c r="F8" s="5" t="s">
        <v>6</v>
      </c>
      <c r="G8" s="5" t="s">
        <v>7</v>
      </c>
      <c r="H8" s="5" t="s">
        <v>46</v>
      </c>
      <c r="I8" s="5" t="s">
        <v>5</v>
      </c>
      <c r="J8" s="6" t="s">
        <v>9</v>
      </c>
      <c r="K8" s="6" t="s">
        <v>10</v>
      </c>
      <c r="L8" s="6" t="s">
        <v>11</v>
      </c>
      <c r="M8" s="6" t="s">
        <v>12</v>
      </c>
      <c r="N8" s="6" t="s">
        <v>15</v>
      </c>
      <c r="O8" s="6" t="s">
        <v>16</v>
      </c>
      <c r="P8" s="5" t="s">
        <v>14</v>
      </c>
      <c r="Q8" s="9" t="s">
        <v>27</v>
      </c>
    </row>
    <row r="9" spans="1:17" x14ac:dyDescent="0.25">
      <c r="A9" s="2" t="str">
        <f ca="1">$A$7&amp;":"&amp;Table14[[#This Row],[L1]]&amp;IF(ISNUMBER(Table14[[#This Row],[L2]]),"."&amp;Table14[[#This Row],[L2]],"")&amp;IF(ISNUMBER(Table14[[#This Row],[L3]]),"."&amp;Table14[[#This Row],[L3]],"")&amp;IF(ISNUMBER(Table14[[#This Row],[L4]]),"."&amp;Table14[[#This Row],[L4]],"")&amp;IF(ISNUMBER(Table14[[#This Row],[L5]]),"."&amp;Table14[[#This Row],[L5]],"")&amp;IF(ISNUMBER(Table14[[#This Row],[L6]]),"."&amp;Table14[[#This Row],[L6]],"")</f>
        <v>ECM:1</v>
      </c>
      <c r="B9" s="3" t="s">
        <v>36</v>
      </c>
      <c r="C9" s="4" t="s">
        <v>21</v>
      </c>
      <c r="D9" s="4"/>
      <c r="E9" s="7" t="s">
        <v>21</v>
      </c>
      <c r="F9" s="7"/>
      <c r="G9" s="4"/>
      <c r="H9" s="4"/>
      <c r="I9" s="4"/>
      <c r="J9" s="3" cm="1">
        <f t="array" aca="1" ref="J9" ca="1">IF( OutlineLevel&lt;VALUE(RIGHT(J$8,1)), "",  IF( ISNUMBER(OFFSET(J9,-1,0)), OFFSET(J9,-1,0)+IF(OutlineLevel=VALUE(RIGHT(J$8,1)),1,0),1) )</f>
        <v>1</v>
      </c>
      <c r="K9" s="3" t="str" cm="1">
        <f t="array" aca="1" ref="K9" ca="1">IF( OutlineLevel&lt;VALUE(RIGHT(K$8,1)), "",  IF( ISNUMBER(OFFSET(K9,-1,0)), OFFSET(K9,-1,0)+IF(OutlineLevel=VALUE(RIGHT(K$8,1)),1,0),1) )</f>
        <v/>
      </c>
      <c r="L9" s="3" t="str" cm="1">
        <f t="array" aca="1" ref="L9" ca="1">IF( OutlineLevel&lt;VALUE(RIGHT(L$8,1)), "",  IF( ISNUMBER(OFFSET(L9,-1,0)), OFFSET(L9,-1,0)+IF(OutlineLevel=VALUE(RIGHT(L$8,1)),1,0),1) )</f>
        <v/>
      </c>
      <c r="M9" s="3" t="str" cm="1">
        <f t="array" aca="1" ref="M9" ca="1">IF( OutlineLevel&lt;VALUE(RIGHT(M$8,1)), "",  IF( ISNUMBER(OFFSET(M9,-1,0)), OFFSET(M9,-1,0)+IF(OutlineLevel=VALUE(RIGHT(M$8,1)),1,0),1) )</f>
        <v/>
      </c>
      <c r="N9" s="3" t="str" cm="1">
        <f t="array" aca="1" ref="N9" ca="1">IF( OutlineLevel&lt;VALUE(RIGHT(N$8,1)), "",  IF( ISNUMBER(OFFSET(N9,-1,0)), OFFSET(N9,-1,0)+IF(OutlineLevel=VALUE(RIGHT(N$8,1)),1,0),1) )</f>
        <v/>
      </c>
      <c r="O9" s="3" t="str" cm="1">
        <f t="array" aca="1" ref="O9" ca="1">IF( OutlineLevel&lt;VALUE(RIGHT(O$8,1)), "",  IF( ISNUMBER(OFFSET(O9,-1,0)), OFFSET(O9,-1,0)+IF(OutlineLevel=VALUE(RIGHT(O$8,1)),1,0),1) )</f>
        <v/>
      </c>
      <c r="P9" s="3" t="b">
        <f ca="1">Table14[[#This Row],[Level]]&lt;OFFSET(P9,1,1)</f>
        <v>1</v>
      </c>
      <c r="Q9" s="3" cm="1">
        <f t="array" ref="Q9">OutlineLevel</f>
        <v>1</v>
      </c>
    </row>
    <row r="10" spans="1:17" outlineLevel="1" x14ac:dyDescent="0.25">
      <c r="A10" s="2" t="str">
        <f ca="1">$A$7&amp;":"&amp;Table14[[#This Row],[L1]]&amp;IF(ISNUMBER(Table14[[#This Row],[L2]]),"."&amp;Table14[[#This Row],[L2]],"")&amp;IF(ISNUMBER(Table14[[#This Row],[L3]]),"."&amp;Table14[[#This Row],[L3]],"")&amp;IF(ISNUMBER(Table14[[#This Row],[L4]]),"."&amp;Table14[[#This Row],[L4]],"")&amp;IF(ISNUMBER(Table14[[#This Row],[L5]]),"."&amp;Table14[[#This Row],[L5]],"")&amp;IF(ISNUMBER(Table14[[#This Row],[L6]]),"."&amp;Table14[[#This Row],[L6]],"")</f>
        <v>ECM:1.1</v>
      </c>
      <c r="B10" s="3" t="s">
        <v>24</v>
      </c>
      <c r="C10" s="4" t="s">
        <v>58</v>
      </c>
      <c r="D10" s="4"/>
      <c r="E10" s="7"/>
      <c r="F10" s="7"/>
      <c r="G10" s="4"/>
      <c r="H10" s="4"/>
      <c r="I10" s="4"/>
      <c r="J10" s="3" cm="1">
        <f t="array" aca="1" ref="J10" ca="1">IF( OutlineLevel&lt;VALUE(RIGHT(J$8,1)), "",  IF( ISNUMBER(OFFSET(J10,-1,0)), OFFSET(J10,-1,0)+IF(OutlineLevel=VALUE(RIGHT(J$8,1)),1,0),1) )</f>
        <v>1</v>
      </c>
      <c r="K10" s="3" cm="1">
        <f t="array" aca="1" ref="K10" ca="1">IF( OutlineLevel&lt;VALUE(RIGHT(K$8,1)), "",  IF( ISNUMBER(OFFSET(K10,-1,0)), OFFSET(K10,-1,0)+IF(OutlineLevel=VALUE(RIGHT(K$8,1)),1,0),1) )</f>
        <v>1</v>
      </c>
      <c r="L10" s="3" t="str" cm="1">
        <f t="array" aca="1" ref="L10" ca="1">IF( OutlineLevel&lt;VALUE(RIGHT(L$8,1)), "",  IF( ISNUMBER(OFFSET(L10,-1,0)), OFFSET(L10,-1,0)+IF(OutlineLevel=VALUE(RIGHT(L$8,1)),1,0),1) )</f>
        <v/>
      </c>
      <c r="M10" s="3" t="str" cm="1">
        <f t="array" aca="1" ref="M10" ca="1">IF( OutlineLevel&lt;VALUE(RIGHT(M$8,1)), "",  IF( ISNUMBER(OFFSET(M10,-1,0)), OFFSET(M10,-1,0)+IF(OutlineLevel=VALUE(RIGHT(M$8,1)),1,0),1) )</f>
        <v/>
      </c>
      <c r="N10" s="3" t="str" cm="1">
        <f t="array" aca="1" ref="N10" ca="1">IF( OutlineLevel&lt;VALUE(RIGHT(N$8,1)), "",  IF( ISNUMBER(OFFSET(N10,-1,0)), OFFSET(N10,-1,0)+IF(OutlineLevel=VALUE(RIGHT(N$8,1)),1,0),1) )</f>
        <v/>
      </c>
      <c r="O10" s="3" t="str" cm="1">
        <f t="array" aca="1" ref="O10" ca="1">IF( OutlineLevel&lt;VALUE(RIGHT(O$8,1)), "",  IF( ISNUMBER(OFFSET(O10,-1,0)), OFFSET(O10,-1,0)+IF(OutlineLevel=VALUE(RIGHT(O$8,1)),1,0),1) )</f>
        <v/>
      </c>
      <c r="P10" s="3" t="b">
        <f ca="1">Table14[[#This Row],[Level]]&lt;OFFSET(P10,1,1)</f>
        <v>0</v>
      </c>
      <c r="Q10" s="3" cm="1">
        <f t="array" ref="Q10">OutlineLevel</f>
        <v>2</v>
      </c>
    </row>
    <row r="11" spans="1:17" x14ac:dyDescent="0.25">
      <c r="A11" s="2" t="str">
        <f ca="1">$A$7&amp;":"&amp;Table14[[#This Row],[L1]]&amp;IF(ISNUMBER(Table14[[#This Row],[L2]]),"."&amp;Table14[[#This Row],[L2]],"")&amp;IF(ISNUMBER(Table14[[#This Row],[L3]]),"."&amp;Table14[[#This Row],[L3]],"")&amp;IF(ISNUMBER(Table14[[#This Row],[L4]]),"."&amp;Table14[[#This Row],[L4]],"")&amp;IF(ISNUMBER(Table14[[#This Row],[L5]]),"."&amp;Table14[[#This Row],[L5]],"")&amp;IF(ISNUMBER(Table14[[#This Row],[L6]]),"."&amp;Table14[[#This Row],[L6]],"")</f>
        <v>ECM:2</v>
      </c>
      <c r="B11" s="3" t="s">
        <v>36</v>
      </c>
      <c r="C11" s="4" t="s">
        <v>57</v>
      </c>
      <c r="D11" s="4"/>
      <c r="E11" s="7" t="s">
        <v>19</v>
      </c>
      <c r="F11" s="7" t="s">
        <v>35</v>
      </c>
      <c r="G11" s="4"/>
      <c r="H11" s="4"/>
      <c r="I11" s="4"/>
      <c r="J11" s="3" cm="1">
        <f t="array" aca="1" ref="J11" ca="1">IF( OutlineLevel&lt;VALUE(RIGHT(J$8,1)), "",  IF( ISNUMBER(OFFSET(J11,-1,0)), OFFSET(J11,-1,0)+IF(OutlineLevel=VALUE(RIGHT(J$8,1)),1,0),1) )</f>
        <v>2</v>
      </c>
      <c r="K11" s="3" t="str" cm="1">
        <f t="array" aca="1" ref="K11" ca="1">IF( OutlineLevel&lt;VALUE(RIGHT(K$8,1)), "",  IF( ISNUMBER(OFFSET(K11,-1,0)), OFFSET(K11,-1,0)+IF(OutlineLevel=VALUE(RIGHT(K$8,1)),1,0),1) )</f>
        <v/>
      </c>
      <c r="L11" s="3" t="str" cm="1">
        <f t="array" aca="1" ref="L11" ca="1">IF( OutlineLevel&lt;VALUE(RIGHT(L$8,1)), "",  IF( ISNUMBER(OFFSET(L11,-1,0)), OFFSET(L11,-1,0)+IF(OutlineLevel=VALUE(RIGHT(L$8,1)),1,0),1) )</f>
        <v/>
      </c>
      <c r="M11" s="3" t="str" cm="1">
        <f t="array" aca="1" ref="M11" ca="1">IF( OutlineLevel&lt;VALUE(RIGHT(M$8,1)), "",  IF( ISNUMBER(OFFSET(M11,-1,0)), OFFSET(M11,-1,0)+IF(OutlineLevel=VALUE(RIGHT(M$8,1)),1,0),1) )</f>
        <v/>
      </c>
      <c r="N11" s="3" t="str" cm="1">
        <f t="array" aca="1" ref="N11" ca="1">IF( OutlineLevel&lt;VALUE(RIGHT(N$8,1)), "",  IF( ISNUMBER(OFFSET(N11,-1,0)), OFFSET(N11,-1,0)+IF(OutlineLevel=VALUE(RIGHT(N$8,1)),1,0),1) )</f>
        <v/>
      </c>
      <c r="O11" s="3" t="str" cm="1">
        <f t="array" aca="1" ref="O11" ca="1">IF( OutlineLevel&lt;VALUE(RIGHT(O$8,1)), "",  IF( ISNUMBER(OFFSET(O11,-1,0)), OFFSET(O11,-1,0)+IF(OutlineLevel=VALUE(RIGHT(O$8,1)),1,0),1) )</f>
        <v/>
      </c>
      <c r="P11" s="3" t="b">
        <f ca="1">Table14[[#This Row],[Level]]&lt;OFFSET(P11,1,1)</f>
        <v>1</v>
      </c>
      <c r="Q11" s="3" cm="1">
        <f t="array" ref="Q11">OutlineLevel</f>
        <v>1</v>
      </c>
    </row>
    <row r="12" spans="1:17" outlineLevel="1" x14ac:dyDescent="0.25">
      <c r="A12" s="17" t="str">
        <f ca="1">$A$7&amp;":"&amp;Table14[[#This Row],[L1]]&amp;IF(ISNUMBER(Table14[[#This Row],[L2]]),"."&amp;Table14[[#This Row],[L2]],"")&amp;IF(ISNUMBER(Table14[[#This Row],[L3]]),"."&amp;Table14[[#This Row],[L3]],"")&amp;IF(ISNUMBER(Table14[[#This Row],[L4]]),"."&amp;Table14[[#This Row],[L4]],"")&amp;IF(ISNUMBER(Table14[[#This Row],[L5]]),"."&amp;Table14[[#This Row],[L5]],"")&amp;IF(ISNUMBER(Table14[[#This Row],[L6]]),"."&amp;Table14[[#This Row],[L6]],"")</f>
        <v>ECM:2.1</v>
      </c>
      <c r="B12" s="3" t="s">
        <v>24</v>
      </c>
      <c r="C12" s="4" t="s">
        <v>60</v>
      </c>
      <c r="D12" s="4"/>
      <c r="E12" s="7"/>
      <c r="F12" s="7"/>
      <c r="G12" s="4"/>
      <c r="H12" s="4"/>
      <c r="I12" s="4"/>
      <c r="J12" s="3" cm="1">
        <f t="array" aca="1" ref="J12" ca="1">IF( OutlineLevel&lt;VALUE(RIGHT(J$8,1)), "",  IF( ISNUMBER(OFFSET(J12,-1,0)), OFFSET(J12,-1,0)+IF(OutlineLevel=VALUE(RIGHT(J$8,1)),1,0),1) )</f>
        <v>2</v>
      </c>
      <c r="K12" s="3" cm="1">
        <f t="array" aca="1" ref="K12" ca="1">IF( OutlineLevel&lt;VALUE(RIGHT(K$8,1)), "",  IF( ISNUMBER(OFFSET(K12,-1,0)), OFFSET(K12,-1,0)+IF(OutlineLevel=VALUE(RIGHT(K$8,1)),1,0),1) )</f>
        <v>1</v>
      </c>
      <c r="L12" s="3" t="str" cm="1">
        <f t="array" aca="1" ref="L12" ca="1">IF( OutlineLevel&lt;VALUE(RIGHT(L$8,1)), "",  IF( ISNUMBER(OFFSET(L12,-1,0)), OFFSET(L12,-1,0)+IF(OutlineLevel=VALUE(RIGHT(L$8,1)),1,0),1) )</f>
        <v/>
      </c>
      <c r="M12" s="3" t="str" cm="1">
        <f t="array" aca="1" ref="M12" ca="1">IF( OutlineLevel&lt;VALUE(RIGHT(M$8,1)), "",  IF( ISNUMBER(OFFSET(M12,-1,0)), OFFSET(M12,-1,0)+IF(OutlineLevel=VALUE(RIGHT(M$8,1)),1,0),1) )</f>
        <v/>
      </c>
      <c r="N12" s="3" t="str" cm="1">
        <f t="array" aca="1" ref="N12" ca="1">IF( OutlineLevel&lt;VALUE(RIGHT(N$8,1)), "",  IF( ISNUMBER(OFFSET(N12,-1,0)), OFFSET(N12,-1,0)+IF(OutlineLevel=VALUE(RIGHT(N$8,1)),1,0),1) )</f>
        <v/>
      </c>
      <c r="O12" s="3" t="str" cm="1">
        <f t="array" aca="1" ref="O12" ca="1">IF( OutlineLevel&lt;VALUE(RIGHT(O$8,1)), "",  IF( ISNUMBER(OFFSET(O12,-1,0)), OFFSET(O12,-1,0)+IF(OutlineLevel=VALUE(RIGHT(O$8,1)),1,0),1) )</f>
        <v/>
      </c>
      <c r="P12" s="3" t="b">
        <f ca="1">Table14[[#This Row],[Level]]&lt;OFFSET(P12,1,1)</f>
        <v>0</v>
      </c>
      <c r="Q12" s="3" cm="1">
        <f t="array" ref="Q12">OutlineLevel</f>
        <v>2</v>
      </c>
    </row>
    <row r="13" spans="1:17" x14ac:dyDescent="0.25">
      <c r="A13" s="17" t="str">
        <f ca="1">$A$7&amp;":"&amp;Table14[[#This Row],[L1]]&amp;IF(ISNUMBER(Table14[[#This Row],[L2]]),"."&amp;Table14[[#This Row],[L2]],"")&amp;IF(ISNUMBER(Table14[[#This Row],[L3]]),"."&amp;Table14[[#This Row],[L3]],"")&amp;IF(ISNUMBER(Table14[[#This Row],[L4]]),"."&amp;Table14[[#This Row],[L4]],"")&amp;IF(ISNUMBER(Table14[[#This Row],[L5]]),"."&amp;Table14[[#This Row],[L5]],"")&amp;IF(ISNUMBER(Table14[[#This Row],[L6]]),"."&amp;Table14[[#This Row],[L6]],"")</f>
        <v>ECM:3</v>
      </c>
      <c r="B13" s="3" t="s">
        <v>36</v>
      </c>
      <c r="C13" s="4" t="s">
        <v>59</v>
      </c>
      <c r="D13" s="4"/>
      <c r="E13" s="7"/>
      <c r="F13" s="7"/>
      <c r="G13" s="4"/>
      <c r="H13" s="4"/>
      <c r="I13" s="4"/>
      <c r="J13" s="3" cm="1">
        <f t="array" aca="1" ref="J13" ca="1">IF( OutlineLevel&lt;VALUE(RIGHT(J$8,1)), "",  IF( ISNUMBER(OFFSET(J13,-1,0)), OFFSET(J13,-1,0)+IF(OutlineLevel=VALUE(RIGHT(J$8,1)),1,0),1) )</f>
        <v>3</v>
      </c>
      <c r="K13" s="3" t="str" cm="1">
        <f t="array" aca="1" ref="K13" ca="1">IF( OutlineLevel&lt;VALUE(RIGHT(K$8,1)), "",  IF( ISNUMBER(OFFSET(K13,-1,0)), OFFSET(K13,-1,0)+IF(OutlineLevel=VALUE(RIGHT(K$8,1)),1,0),1) )</f>
        <v/>
      </c>
      <c r="L13" s="3" t="str" cm="1">
        <f t="array" aca="1" ref="L13" ca="1">IF( OutlineLevel&lt;VALUE(RIGHT(L$8,1)), "",  IF( ISNUMBER(OFFSET(L13,-1,0)), OFFSET(L13,-1,0)+IF(OutlineLevel=VALUE(RIGHT(L$8,1)),1,0),1) )</f>
        <v/>
      </c>
      <c r="M13" s="3" t="str" cm="1">
        <f t="array" aca="1" ref="M13" ca="1">IF( OutlineLevel&lt;VALUE(RIGHT(M$8,1)), "",  IF( ISNUMBER(OFFSET(M13,-1,0)), OFFSET(M13,-1,0)+IF(OutlineLevel=VALUE(RIGHT(M$8,1)),1,0),1) )</f>
        <v/>
      </c>
      <c r="N13" s="3" t="str" cm="1">
        <f t="array" aca="1" ref="N13" ca="1">IF( OutlineLevel&lt;VALUE(RIGHT(N$8,1)), "",  IF( ISNUMBER(OFFSET(N13,-1,0)), OFFSET(N13,-1,0)+IF(OutlineLevel=VALUE(RIGHT(N$8,1)),1,0),1) )</f>
        <v/>
      </c>
      <c r="O13" s="3" t="str" cm="1">
        <f t="array" aca="1" ref="O13" ca="1">IF( OutlineLevel&lt;VALUE(RIGHT(O$8,1)), "",  IF( ISNUMBER(OFFSET(O13,-1,0)), OFFSET(O13,-1,0)+IF(OutlineLevel=VALUE(RIGHT(O$8,1)),1,0),1) )</f>
        <v/>
      </c>
      <c r="P13" s="3" t="b">
        <f ca="1">Table14[[#This Row],[Level]]&lt;OFFSET(P13,1,1)</f>
        <v>1</v>
      </c>
      <c r="Q13" s="3" cm="1">
        <f t="array" ref="Q13">OutlineLevel</f>
        <v>1</v>
      </c>
    </row>
    <row r="14" spans="1:17" ht="30" outlineLevel="1" x14ac:dyDescent="0.25">
      <c r="A14" s="17" t="str">
        <f ca="1">$A$7&amp;":"&amp;Table14[[#This Row],[L1]]&amp;IF(ISNUMBER(Table14[[#This Row],[L2]]),"."&amp;Table14[[#This Row],[L2]],"")&amp;IF(ISNUMBER(Table14[[#This Row],[L3]]),"."&amp;Table14[[#This Row],[L3]],"")&amp;IF(ISNUMBER(Table14[[#This Row],[L4]]),"."&amp;Table14[[#This Row],[L4]],"")&amp;IF(ISNUMBER(Table14[[#This Row],[L5]]),"."&amp;Table14[[#This Row],[L5]],"")&amp;IF(ISNUMBER(Table14[[#This Row],[L6]]),"."&amp;Table14[[#This Row],[L6]],"")</f>
        <v>ECM:3.1</v>
      </c>
      <c r="B14" s="3" t="s">
        <v>25</v>
      </c>
      <c r="C14" s="4" t="s">
        <v>61</v>
      </c>
      <c r="D14" s="4"/>
      <c r="E14" s="7"/>
      <c r="F14" s="7"/>
      <c r="G14" s="4"/>
      <c r="H14" s="4"/>
      <c r="I14" s="4"/>
      <c r="J14" s="3" cm="1">
        <f t="array" aca="1" ref="J14" ca="1">IF( OutlineLevel&lt;VALUE(RIGHT(J$8,1)), "",  IF( ISNUMBER(OFFSET(J14,-1,0)), OFFSET(J14,-1,0)+IF(OutlineLevel=VALUE(RIGHT(J$8,1)),1,0),1) )</f>
        <v>3</v>
      </c>
      <c r="K14" s="3" cm="1">
        <f t="array" aca="1" ref="K14" ca="1">IF( OutlineLevel&lt;VALUE(RIGHT(K$8,1)), "",  IF( ISNUMBER(OFFSET(K14,-1,0)), OFFSET(K14,-1,0)+IF(OutlineLevel=VALUE(RIGHT(K$8,1)),1,0),1) )</f>
        <v>1</v>
      </c>
      <c r="L14" s="3" t="str" cm="1">
        <f t="array" aca="1" ref="L14" ca="1">IF( OutlineLevel&lt;VALUE(RIGHT(L$8,1)), "",  IF( ISNUMBER(OFFSET(L14,-1,0)), OFFSET(L14,-1,0)+IF(OutlineLevel=VALUE(RIGHT(L$8,1)),1,0),1) )</f>
        <v/>
      </c>
      <c r="M14" s="3" t="str" cm="1">
        <f t="array" aca="1" ref="M14" ca="1">IF( OutlineLevel&lt;VALUE(RIGHT(M$8,1)), "",  IF( ISNUMBER(OFFSET(M14,-1,0)), OFFSET(M14,-1,0)+IF(OutlineLevel=VALUE(RIGHT(M$8,1)),1,0),1) )</f>
        <v/>
      </c>
      <c r="N14" s="3" t="str" cm="1">
        <f t="array" aca="1" ref="N14" ca="1">IF( OutlineLevel&lt;VALUE(RIGHT(N$8,1)), "",  IF( ISNUMBER(OFFSET(N14,-1,0)), OFFSET(N14,-1,0)+IF(OutlineLevel=VALUE(RIGHT(N$8,1)),1,0),1) )</f>
        <v/>
      </c>
      <c r="O14" s="3" t="str" cm="1">
        <f t="array" aca="1" ref="O14" ca="1">IF( OutlineLevel&lt;VALUE(RIGHT(O$8,1)), "",  IF( ISNUMBER(OFFSET(O14,-1,0)), OFFSET(O14,-1,0)+IF(OutlineLevel=VALUE(RIGHT(O$8,1)),1,0),1) )</f>
        <v/>
      </c>
      <c r="P14" s="3" t="b">
        <f ca="1">Table14[[#This Row],[Level]]&lt;OFFSET(P14,1,1)</f>
        <v>0</v>
      </c>
      <c r="Q14" s="3" cm="1">
        <f t="array" ref="Q14">OutlineLevel</f>
        <v>2</v>
      </c>
    </row>
    <row r="15" spans="1:17" x14ac:dyDescent="0.25">
      <c r="A15" s="17" t="str">
        <f ca="1">$A$7&amp;":"&amp;Table14[[#This Row],[L1]]&amp;IF(ISNUMBER(Table14[[#This Row],[L2]]),"."&amp;Table14[[#This Row],[L2]],"")&amp;IF(ISNUMBER(Table14[[#This Row],[L3]]),"."&amp;Table14[[#This Row],[L3]],"")&amp;IF(ISNUMBER(Table14[[#This Row],[L4]]),"."&amp;Table14[[#This Row],[L4]],"")&amp;IF(ISNUMBER(Table14[[#This Row],[L5]]),"."&amp;Table14[[#This Row],[L5]],"")&amp;IF(ISNUMBER(Table14[[#This Row],[L6]]),"."&amp;Table14[[#This Row],[L6]],"")</f>
        <v>ECM:4</v>
      </c>
      <c r="B15" s="3" t="s">
        <v>36</v>
      </c>
      <c r="C15" s="4" t="s">
        <v>62</v>
      </c>
      <c r="D15" s="4"/>
      <c r="E15" s="7"/>
      <c r="F15" s="7"/>
      <c r="G15" s="4"/>
      <c r="H15" s="4"/>
      <c r="I15" s="4"/>
      <c r="J15" s="3" cm="1">
        <f t="array" aca="1" ref="J15" ca="1">IF( OutlineLevel&lt;VALUE(RIGHT(J$8,1)), "",  IF( ISNUMBER(OFFSET(J15,-1,0)), OFFSET(J15,-1,0)+IF(OutlineLevel=VALUE(RIGHT(J$8,1)),1,0),1) )</f>
        <v>4</v>
      </c>
      <c r="K15" s="3" t="str" cm="1">
        <f t="array" aca="1" ref="K15" ca="1">IF( OutlineLevel&lt;VALUE(RIGHT(K$8,1)), "",  IF( ISNUMBER(OFFSET(K15,-1,0)), OFFSET(K15,-1,0)+IF(OutlineLevel=VALUE(RIGHT(K$8,1)),1,0),1) )</f>
        <v/>
      </c>
      <c r="L15" s="3" t="str" cm="1">
        <f t="array" aca="1" ref="L15" ca="1">IF( OutlineLevel&lt;VALUE(RIGHT(L$8,1)), "",  IF( ISNUMBER(OFFSET(L15,-1,0)), OFFSET(L15,-1,0)+IF(OutlineLevel=VALUE(RIGHT(L$8,1)),1,0),1) )</f>
        <v/>
      </c>
      <c r="M15" s="3" t="str" cm="1">
        <f t="array" aca="1" ref="M15" ca="1">IF( OutlineLevel&lt;VALUE(RIGHT(M$8,1)), "",  IF( ISNUMBER(OFFSET(M15,-1,0)), OFFSET(M15,-1,0)+IF(OutlineLevel=VALUE(RIGHT(M$8,1)),1,0),1) )</f>
        <v/>
      </c>
      <c r="N15" s="3" t="str" cm="1">
        <f t="array" aca="1" ref="N15" ca="1">IF( OutlineLevel&lt;VALUE(RIGHT(N$8,1)), "",  IF( ISNUMBER(OFFSET(N15,-1,0)), OFFSET(N15,-1,0)+IF(OutlineLevel=VALUE(RIGHT(N$8,1)),1,0),1) )</f>
        <v/>
      </c>
      <c r="O15" s="3" t="str" cm="1">
        <f t="array" aca="1" ref="O15" ca="1">IF( OutlineLevel&lt;VALUE(RIGHT(O$8,1)), "",  IF( ISNUMBER(OFFSET(O15,-1,0)), OFFSET(O15,-1,0)+IF(OutlineLevel=VALUE(RIGHT(O$8,1)),1,0),1) )</f>
        <v/>
      </c>
      <c r="P15" s="3" t="b">
        <f ca="1">Table14[[#This Row],[Level]]&lt;OFFSET(P15,1,1)</f>
        <v>1</v>
      </c>
      <c r="Q15" s="3" cm="1">
        <f t="array" ref="Q15">OutlineLevel</f>
        <v>1</v>
      </c>
    </row>
    <row r="16" spans="1:17" ht="30" outlineLevel="1" x14ac:dyDescent="0.25">
      <c r="A16" s="17" t="str">
        <f ca="1">$A$7&amp;":"&amp;Table14[[#This Row],[L1]]&amp;IF(ISNUMBER(Table14[[#This Row],[L2]]),"."&amp;Table14[[#This Row],[L2]],"")&amp;IF(ISNUMBER(Table14[[#This Row],[L3]]),"."&amp;Table14[[#This Row],[L3]],"")&amp;IF(ISNUMBER(Table14[[#This Row],[L4]]),"."&amp;Table14[[#This Row],[L4]],"")&amp;IF(ISNUMBER(Table14[[#This Row],[L5]]),"."&amp;Table14[[#This Row],[L5]],"")&amp;IF(ISNUMBER(Table14[[#This Row],[L6]]),"."&amp;Table14[[#This Row],[L6]],"")</f>
        <v>ECM:4.1</v>
      </c>
      <c r="B16" s="3" t="s">
        <v>24</v>
      </c>
      <c r="C16" s="4" t="s">
        <v>63</v>
      </c>
      <c r="D16" s="4"/>
      <c r="E16" s="7"/>
      <c r="F16" s="7"/>
      <c r="G16" s="4"/>
      <c r="H16" s="4"/>
      <c r="I16" s="4"/>
      <c r="J16" s="3" cm="1">
        <f t="array" aca="1" ref="J16" ca="1">IF( OutlineLevel&lt;VALUE(RIGHT(J$8,1)), "",  IF( ISNUMBER(OFFSET(J16,-1,0)), OFFSET(J16,-1,0)+IF(OutlineLevel=VALUE(RIGHT(J$8,1)),1,0),1) )</f>
        <v>4</v>
      </c>
      <c r="K16" s="3" cm="1">
        <f t="array" aca="1" ref="K16" ca="1">IF( OutlineLevel&lt;VALUE(RIGHT(K$8,1)), "",  IF( ISNUMBER(OFFSET(K16,-1,0)), OFFSET(K16,-1,0)+IF(OutlineLevel=VALUE(RIGHT(K$8,1)),1,0),1) )</f>
        <v>1</v>
      </c>
      <c r="L16" s="3" t="str" cm="1">
        <f t="array" aca="1" ref="L16" ca="1">IF( OutlineLevel&lt;VALUE(RIGHT(L$8,1)), "",  IF( ISNUMBER(OFFSET(L16,-1,0)), OFFSET(L16,-1,0)+IF(OutlineLevel=VALUE(RIGHT(L$8,1)),1,0),1) )</f>
        <v/>
      </c>
      <c r="M16" s="3" t="str" cm="1">
        <f t="array" aca="1" ref="M16" ca="1">IF( OutlineLevel&lt;VALUE(RIGHT(M$8,1)), "",  IF( ISNUMBER(OFFSET(M16,-1,0)), OFFSET(M16,-1,0)+IF(OutlineLevel=VALUE(RIGHT(M$8,1)),1,0),1) )</f>
        <v/>
      </c>
      <c r="N16" s="3" t="str" cm="1">
        <f t="array" aca="1" ref="N16" ca="1">IF( OutlineLevel&lt;VALUE(RIGHT(N$8,1)), "",  IF( ISNUMBER(OFFSET(N16,-1,0)), OFFSET(N16,-1,0)+IF(OutlineLevel=VALUE(RIGHT(N$8,1)),1,0),1) )</f>
        <v/>
      </c>
      <c r="O16" s="3" t="str" cm="1">
        <f t="array" aca="1" ref="O16" ca="1">IF( OutlineLevel&lt;VALUE(RIGHT(O$8,1)), "",  IF( ISNUMBER(OFFSET(O16,-1,0)), OFFSET(O16,-1,0)+IF(OutlineLevel=VALUE(RIGHT(O$8,1)),1,0),1) )</f>
        <v/>
      </c>
      <c r="P16" s="3" t="b">
        <f ca="1">Table14[[#This Row],[Level]]&lt;OFFSET(P16,1,1)</f>
        <v>0</v>
      </c>
      <c r="Q16" s="3" cm="1">
        <f t="array" ref="Q16">OutlineLevel</f>
        <v>2</v>
      </c>
    </row>
    <row r="17" spans="1:17" ht="30" outlineLevel="1" x14ac:dyDescent="0.25">
      <c r="A17" s="17" t="str">
        <f ca="1">$A$7&amp;":"&amp;Table14[[#This Row],[L1]]&amp;IF(ISNUMBER(Table14[[#This Row],[L2]]),"."&amp;Table14[[#This Row],[L2]],"")&amp;IF(ISNUMBER(Table14[[#This Row],[L3]]),"."&amp;Table14[[#This Row],[L3]],"")&amp;IF(ISNUMBER(Table14[[#This Row],[L4]]),"."&amp;Table14[[#This Row],[L4]],"")&amp;IF(ISNUMBER(Table14[[#This Row],[L5]]),"."&amp;Table14[[#This Row],[L5]],"")&amp;IF(ISNUMBER(Table14[[#This Row],[L6]]),"."&amp;Table14[[#This Row],[L6]],"")</f>
        <v>ECM:4.2</v>
      </c>
      <c r="B17" s="3" t="s">
        <v>24</v>
      </c>
      <c r="C17" s="4" t="s">
        <v>64</v>
      </c>
      <c r="D17" s="4"/>
      <c r="E17" s="7"/>
      <c r="F17" s="7"/>
      <c r="G17" s="4"/>
      <c r="H17" s="4"/>
      <c r="I17" s="4"/>
      <c r="J17" s="3" cm="1">
        <f t="array" aca="1" ref="J17" ca="1">IF( OutlineLevel&lt;VALUE(RIGHT(J$8,1)), "",  IF( ISNUMBER(OFFSET(J17,-1,0)), OFFSET(J17,-1,0)+IF(OutlineLevel=VALUE(RIGHT(J$8,1)),1,0),1) )</f>
        <v>4</v>
      </c>
      <c r="K17" s="3" cm="1">
        <f t="array" aca="1" ref="K17" ca="1">IF( OutlineLevel&lt;VALUE(RIGHT(K$8,1)), "",  IF( ISNUMBER(OFFSET(K17,-1,0)), OFFSET(K17,-1,0)+IF(OutlineLevel=VALUE(RIGHT(K$8,1)),1,0),1) )</f>
        <v>2</v>
      </c>
      <c r="L17" s="3" t="str" cm="1">
        <f t="array" aca="1" ref="L17" ca="1">IF( OutlineLevel&lt;VALUE(RIGHT(L$8,1)), "",  IF( ISNUMBER(OFFSET(L17,-1,0)), OFFSET(L17,-1,0)+IF(OutlineLevel=VALUE(RIGHT(L$8,1)),1,0),1) )</f>
        <v/>
      </c>
      <c r="M17" s="3" t="str" cm="1">
        <f t="array" aca="1" ref="M17" ca="1">IF( OutlineLevel&lt;VALUE(RIGHT(M$8,1)), "",  IF( ISNUMBER(OFFSET(M17,-1,0)), OFFSET(M17,-1,0)+IF(OutlineLevel=VALUE(RIGHT(M$8,1)),1,0),1) )</f>
        <v/>
      </c>
      <c r="N17" s="3" t="str" cm="1">
        <f t="array" aca="1" ref="N17" ca="1">IF( OutlineLevel&lt;VALUE(RIGHT(N$8,1)), "",  IF( ISNUMBER(OFFSET(N17,-1,0)), OFFSET(N17,-1,0)+IF(OutlineLevel=VALUE(RIGHT(N$8,1)),1,0),1) )</f>
        <v/>
      </c>
      <c r="O17" s="3" t="str" cm="1">
        <f t="array" aca="1" ref="O17" ca="1">IF( OutlineLevel&lt;VALUE(RIGHT(O$8,1)), "",  IF( ISNUMBER(OFFSET(O17,-1,0)), OFFSET(O17,-1,0)+IF(OutlineLevel=VALUE(RIGHT(O$8,1)),1,0),1) )</f>
        <v/>
      </c>
      <c r="P17" s="3" t="b">
        <f ca="1">Table14[[#This Row],[Level]]&lt;OFFSET(P17,1,1)</f>
        <v>0</v>
      </c>
      <c r="Q17" s="3" cm="1">
        <f t="array" ref="Q17">OutlineLevel</f>
        <v>2</v>
      </c>
    </row>
  </sheetData>
  <mergeCells count="8">
    <mergeCell ref="A5:B5"/>
    <mergeCell ref="C5:D5"/>
    <mergeCell ref="A2:B2"/>
    <mergeCell ref="C2:D2"/>
    <mergeCell ref="A3:B3"/>
    <mergeCell ref="C3:D3"/>
    <mergeCell ref="A4:B4"/>
    <mergeCell ref="C4:D4"/>
  </mergeCells>
  <conditionalFormatting sqref="C9:C17">
    <cfRule type="expression" dxfId="21" priority="5" stopIfTrue="1">
      <formula>AND($Q9=1,$P9)</formula>
    </cfRule>
    <cfRule type="expression" dxfId="20" priority="6" stopIfTrue="1">
      <formula>AND($Q9=2,$P9)</formula>
    </cfRule>
    <cfRule type="expression" dxfId="19" priority="7" stopIfTrue="1">
      <formula>AND($Q9=3,$P9)</formula>
    </cfRule>
    <cfRule type="expression" dxfId="18" priority="8" stopIfTrue="1">
      <formula>AND($Q9=4,$P9)</formula>
    </cfRule>
    <cfRule type="expression" dxfId="17" priority="9" stopIfTrue="1">
      <formula>AND($Q9=5,$P9)</formula>
    </cfRule>
    <cfRule type="expression" dxfId="16" priority="10" stopIfTrue="1">
      <formula>$Q9=2</formula>
    </cfRule>
    <cfRule type="expression" dxfId="15" priority="11" stopIfTrue="1">
      <formula>$Q9=3</formula>
    </cfRule>
    <cfRule type="expression" dxfId="14" priority="12" stopIfTrue="1">
      <formula>$Q9=4</formula>
    </cfRule>
    <cfRule type="expression" dxfId="13" priority="13" stopIfTrue="1">
      <formula>$Q9=5</formula>
    </cfRule>
    <cfRule type="expression" dxfId="12" priority="14" stopIfTrue="1">
      <formula>$Q9&gt;=6</formula>
    </cfRule>
  </conditionalFormatting>
  <conditionalFormatting sqref="A9:Q17">
    <cfRule type="expression" dxfId="11" priority="3">
      <formula>ISEVEN($Q9)</formula>
    </cfRule>
    <cfRule type="expression" dxfId="10" priority="4">
      <formula>$Q9=1</formula>
    </cfRule>
  </conditionalFormatting>
  <conditionalFormatting sqref="C17">
    <cfRule type="expression" dxfId="9" priority="1">
      <formula>ISEVEN($Q17)</formula>
    </cfRule>
    <cfRule type="expression" dxfId="8" priority="2">
      <formula>$Q17=1</formula>
    </cfRule>
  </conditionalFormatting>
  <dataValidations count="3">
    <dataValidation type="list" allowBlank="1" showInputMessage="1" showErrorMessage="1" sqref="E9:E17" xr:uid="{3E9C8D6E-0A86-46BA-85EF-F423858110FB}">
      <formula1>$G$2:$G$5</formula1>
    </dataValidation>
    <dataValidation type="list" allowBlank="1" showInputMessage="1" showErrorMessage="1" sqref="F9:F17" xr:uid="{07378F8B-267E-4219-9D80-8C6B1AEFFB84}">
      <formula1>$H$2:$H$6</formula1>
    </dataValidation>
    <dataValidation type="list" allowBlank="1" showInputMessage="1" showErrorMessage="1" sqref="B9:B17" xr:uid="{0D7AB2A9-EB1E-4E0D-9678-9FE2857D2CFD}">
      <formula1>$F$2:$F$6</formula1>
    </dataValidation>
  </dataValidations>
  <pageMargins left="0.7" right="0.7" top="0.75" bottom="0.75" header="0.3" footer="0.3"/>
  <pageSetup scale="58" fitToHeight="0" orientation="landscape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E3FA1-056B-4646-96ED-5DDCD13B6428}">
  <sheetPr codeName="Sheet2"/>
  <dimension ref="A1"/>
  <sheetViews>
    <sheetView workbookViewId="0"/>
  </sheetViews>
  <sheetFormatPr defaultRowHeight="15" x14ac:dyDescent="0.25"/>
  <sheetData/>
  <sheetProtection sheet="1" scenarios="1" selectLockedCells="1" selectUn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AB2F9-CEB9-424F-ACC8-7CDCA31EE5E1}">
  <sheetPr codeName="Sheet4"/>
  <dimension ref="A1"/>
  <sheetViews>
    <sheetView tabSelected="1" workbookViewId="0"/>
  </sheetViews>
  <sheetFormatPr defaultRowHeight="15" x14ac:dyDescent="0.25"/>
  <sheetData/>
  <sheetProtection sheet="1" scenarios="1" selectLockedCells="1" selectUn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UserRequirements</vt:lpstr>
      <vt:lpstr>ECMRequirements</vt:lpstr>
      <vt:lpstr>SW Connection Diagram</vt:lpstr>
      <vt:lpstr>Ready</vt:lpstr>
      <vt:lpstr>ECMRequirements!Print_Area</vt:lpstr>
      <vt:lpstr>UserRequirements!Print_Area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Smith</dc:creator>
  <cp:lastModifiedBy>Bill Smith</cp:lastModifiedBy>
  <cp:lastPrinted>2024-02-24T17:38:30Z</cp:lastPrinted>
  <dcterms:created xsi:type="dcterms:W3CDTF">2024-02-23T23:50:55Z</dcterms:created>
  <dcterms:modified xsi:type="dcterms:W3CDTF">2024-03-03T00:12:16Z</dcterms:modified>
</cp:coreProperties>
</file>